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원본" sheetId="1" r:id="rId4"/>
    <sheet state="visible" name="28" sheetId="2" r:id="rId5"/>
    <sheet state="visible" name="29" sheetId="3" r:id="rId6"/>
    <sheet state="visible" name="30" sheetId="4" r:id="rId7"/>
    <sheet state="visible" name="TTL" sheetId="5" r:id="rId8"/>
    <sheet state="visible" name="6월" sheetId="6" r:id="rId9"/>
  </sheets>
  <definedNames>
    <definedName hidden="1" localSheetId="1" name="_xlnm._FilterDatabase">'28'!$A$1:$W$33</definedName>
    <definedName hidden="1" localSheetId="2" name="_xlnm._FilterDatabase">'29'!$A$1:$W$9</definedName>
    <definedName hidden="1" localSheetId="3" name="_xlnm._FilterDatabase">'30'!$A$1:$W$4</definedName>
    <definedName hidden="1" localSheetId="4" name="_xlnm._FilterDatabase">TTL!$A$1:$W$44</definedName>
    <definedName hidden="1" localSheetId="5" name="_xlnm._FilterDatabase">'6월'!$A$1:$W$11</definedName>
  </definedNames>
  <calcPr/>
</workbook>
</file>

<file path=xl/sharedStrings.xml><?xml version="1.0" encoding="utf-8"?>
<sst xmlns="http://schemas.openxmlformats.org/spreadsheetml/2006/main" count="1819" uniqueCount="331">
  <si>
    <t>주문 상태</t>
  </si>
  <si>
    <t>주문일시</t>
  </si>
  <si>
    <t>결제일시(입금확인일)</t>
  </si>
  <si>
    <t>배송시작일</t>
  </si>
  <si>
    <t>환불완료일</t>
  </si>
  <si>
    <t>주문번호</t>
  </si>
  <si>
    <t>품목별 주문번호</t>
  </si>
  <si>
    <t>주문자명</t>
  </si>
  <si>
    <t>주문자 휴대전화</t>
  </si>
  <si>
    <t>수령인</t>
  </si>
  <si>
    <t>수령인 전화번호</t>
  </si>
  <si>
    <t>수령인 휴대전화</t>
  </si>
  <si>
    <t>수령인 우편번호</t>
  </si>
  <si>
    <t>수령인 주소(전체)</t>
  </si>
  <si>
    <t>주문상품명(기본)</t>
  </si>
  <si>
    <t>상품옵션</t>
  </si>
  <si>
    <t>수량</t>
  </si>
  <si>
    <t>운송장번호</t>
  </si>
  <si>
    <t>품목별 결제금액</t>
  </si>
  <si>
    <t>총 상품구매금액</t>
  </si>
  <si>
    <t>상품별 추가할인금액</t>
  </si>
  <si>
    <t>총 배송비 (전체 품목에 표시)</t>
  </si>
  <si>
    <t>총 결제금액(KRW)</t>
  </si>
  <si>
    <t>배송 완료</t>
  </si>
  <si>
    <t>20250527-0002326</t>
  </si>
  <si>
    <t>20250527-0002326-01</t>
  </si>
  <si>
    <t>김지선</t>
  </si>
  <si>
    <t>010-9024-9204</t>
  </si>
  <si>
    <t>02-9024-9204</t>
  </si>
  <si>
    <t>경기도 남양주시 별내면 청학로68번길 62 별내 반도유보라아파트 102-604</t>
  </si>
  <si>
    <t>★NGT 리뉴얼 잇츠 브이 포 우먼 5+2+효소7포1박스+쇼핑백★</t>
  </si>
  <si>
    <t>옵션=5+2박스+효소7포1박스+쇼핑백</t>
  </si>
  <si>
    <t>20250527-0002938</t>
  </si>
  <si>
    <t>20250527-0002938-01</t>
  </si>
  <si>
    <t>박정심</t>
  </si>
  <si>
    <t>010-9020-2583</t>
  </si>
  <si>
    <t>박지윤</t>
  </si>
  <si>
    <t>010-8832-6235</t>
  </si>
  <si>
    <t>대구 수성구 상화로 113-2 대문안</t>
  </si>
  <si>
    <t>20250527-0003098</t>
  </si>
  <si>
    <t>20250527-0003098-01</t>
  </si>
  <si>
    <t>정은재</t>
  </si>
  <si>
    <t>010-3418-6224</t>
  </si>
  <si>
    <t>경기도 파주시 미래로 535 (목동동) 해솔마을3단지운정현대아파트 310동 1001호</t>
  </si>
  <si>
    <t>20250527-0003341</t>
  </si>
  <si>
    <t>20250527-0003341-01</t>
  </si>
  <si>
    <t>김윤아</t>
  </si>
  <si>
    <t>010-4810-8126</t>
  </si>
  <si>
    <t>서울특별시 강서구 공항대로 124 (마곡동) 마곡엠밸리11단지 1102동 405호</t>
  </si>
  <si>
    <t>20250527-0003432</t>
  </si>
  <si>
    <t>20250527-0003432-01</t>
  </si>
  <si>
    <t>최윤정</t>
  </si>
  <si>
    <t>010-4905-8922</t>
  </si>
  <si>
    <t>경기 의왕시 바라산로 75 의왕백운 골드클래스 아파트 103동 1603호</t>
  </si>
  <si>
    <t>옵션=2박스</t>
  </si>
  <si>
    <t>20250527-0003863</t>
  </si>
  <si>
    <t>20250527-0003863-01</t>
  </si>
  <si>
    <t>최현숙</t>
  </si>
  <si>
    <t>010-9073-8365</t>
  </si>
  <si>
    <t>경상남도 양산시 삼호동 857 유승한내들아파트 107동804호</t>
  </si>
  <si>
    <t>20250527-0004157</t>
  </si>
  <si>
    <t>20250527-0004157-01</t>
  </si>
  <si>
    <t>박미리</t>
  </si>
  <si>
    <t>010-9326-0228</t>
  </si>
  <si>
    <t>울산광역시 울주군 범서읍 구영로 75-25 동문굿모닝힐 103동 503호</t>
  </si>
  <si>
    <t>20250527-0004557</t>
  </si>
  <si>
    <t>20250527-0004557-01</t>
  </si>
  <si>
    <t>박상일</t>
  </si>
  <si>
    <t>010-3356-5477</t>
  </si>
  <si>
    <t>리카</t>
  </si>
  <si>
    <t>02-1111-1111</t>
  </si>
  <si>
    <t>010-6381-5409</t>
  </si>
  <si>
    <t>세종특별자치시 금남면 용포중앙2길 14-1 힐링 301호</t>
  </si>
  <si>
    <t>20250527-0004614</t>
  </si>
  <si>
    <t>20250527-0004614-01</t>
  </si>
  <si>
    <t>김수진</t>
  </si>
  <si>
    <t>010-5028-2786</t>
  </si>
  <si>
    <t>경기도 수원시 영통구 봉영로1744번길 16 (영통동) 쌍용아파트 244동 1401호</t>
  </si>
  <si>
    <t>20250527-0004756</t>
  </si>
  <si>
    <t>20250527-0004756-01</t>
  </si>
  <si>
    <t>서근원</t>
  </si>
  <si>
    <t>010-5699-3943</t>
  </si>
  <si>
    <t>031-385-2787</t>
  </si>
  <si>
    <t>경기도 안양시 동안구 평촌대로 217 (호계동) 한솔센트럴파크 I   513호</t>
  </si>
  <si>
    <t>20250527-0004995</t>
  </si>
  <si>
    <t>20250527-0004995-01</t>
  </si>
  <si>
    <t>황미영</t>
  </si>
  <si>
    <t>010-2968-4307</t>
  </si>
  <si>
    <t>부산광역시 남구 유엔로 246 (대연동) 자이아파트104동1202호</t>
  </si>
  <si>
    <t>20250527-0005197</t>
  </si>
  <si>
    <t>20250527-0005197-01</t>
  </si>
  <si>
    <t>김화영</t>
  </si>
  <si>
    <t>010-2551-5866</t>
  </si>
  <si>
    <t>경상북도 상주시 함창읍 경상대로 4797-46 420</t>
  </si>
  <si>
    <t>취소 완료</t>
  </si>
  <si>
    <t>20250527-0005478</t>
  </si>
  <si>
    <t>20250527-0005478-01</t>
  </si>
  <si>
    <t>이미정</t>
  </si>
  <si>
    <t>010-8765-8794</t>
  </si>
  <si>
    <t>031-000-0000</t>
  </si>
  <si>
    <t>경기도 안성시 월덕천길 17 (봉산동) 한주아파트 102동705호</t>
  </si>
  <si>
    <t>20250527-0005539</t>
  </si>
  <si>
    <t>20250527-0005539-01</t>
  </si>
  <si>
    <t>유아리</t>
  </si>
  <si>
    <t>010-6797-2495</t>
  </si>
  <si>
    <t>서울특별시 마포구 합정동 473 마포한강2차푸르지오 201동 1603호</t>
  </si>
  <si>
    <t>20250527-0005579</t>
  </si>
  <si>
    <t>20250527-0005579-01</t>
  </si>
  <si>
    <t>배재원</t>
  </si>
  <si>
    <t>010-2752-2588</t>
  </si>
  <si>
    <t>배재원 @jaewon_bae</t>
  </si>
  <si>
    <t>02-2752-2588</t>
  </si>
  <si>
    <t>경기도 하남시 학암동 651 힐스테이트센트럴위례 7210동 203호</t>
  </si>
  <si>
    <t>옵션=1박스</t>
  </si>
  <si>
    <t>20250527-0005815</t>
  </si>
  <si>
    <t>20250527-0005815-01</t>
  </si>
  <si>
    <t>신정희</t>
  </si>
  <si>
    <t>010-9140-6806</t>
  </si>
  <si>
    <t>경기 평택시 소사3로 22 평택 효성해링턴 플레이스 2단지 204동 1102호</t>
  </si>
  <si>
    <t>20250527-0006259</t>
  </si>
  <si>
    <t>20250527-0006259-01</t>
  </si>
  <si>
    <t>김하나</t>
  </si>
  <si>
    <t>010-9064-0048</t>
  </si>
  <si>
    <t>강원도 삼척시 동해대로 4360 (갈천동) 일성트루엘시그니처 105동404호</t>
  </si>
  <si>
    <t>20250527-0006348</t>
  </si>
  <si>
    <t>20250527-0006348-01</t>
  </si>
  <si>
    <t>박미라</t>
  </si>
  <si>
    <t>010-8518-1422</t>
  </si>
  <si>
    <t>02-2080-3123</t>
  </si>
  <si>
    <t>서울특별시 동작구 상도로 346-1 (상도동) 힐스테이트상도센트럴파크 109-705</t>
  </si>
  <si>
    <t>배송중</t>
  </si>
  <si>
    <t>20250527-0006619</t>
  </si>
  <si>
    <t>20250527-0006619-02</t>
  </si>
  <si>
    <t>이지혜</t>
  </si>
  <si>
    <t>010-3053-8500</t>
  </si>
  <si>
    <t>02-3053-8500</t>
  </si>
  <si>
    <t>경기도 시흥시 은계남로 11 (은행동) 시흥은계한양수자인더클래스 905-1702</t>
  </si>
  <si>
    <t>20250527-0006788</t>
  </si>
  <si>
    <t>20250527-0006788-02</t>
  </si>
  <si>
    <t>최유나</t>
  </si>
  <si>
    <t>010-3938-7080</t>
  </si>
  <si>
    <t>대구광역시 북구 침산동 1750 침산동2차쌍용예가 108동1302호</t>
  </si>
  <si>
    <t>20250527-0006860</t>
  </si>
  <si>
    <t>20250527-0006860-01</t>
  </si>
  <si>
    <t>최선경</t>
  </si>
  <si>
    <t>010-3579-9719</t>
  </si>
  <si>
    <t>경남 양산시 신기서길 14 대동서안한마음타운 101동 502호</t>
  </si>
  <si>
    <t>20250527-0007153</t>
  </si>
  <si>
    <t>20250527-0007153-02</t>
  </si>
  <si>
    <t>천금남</t>
  </si>
  <si>
    <t>010-7294-5845</t>
  </si>
  <si>
    <t>031-266-5845</t>
  </si>
  <si>
    <t>경기도 용인시 수지구 성복2로 86 (성복동) 성동마을LG빌리지1차아파트 103동 1401호</t>
  </si>
  <si>
    <t>옵션=4박스</t>
  </si>
  <si>
    <t>20250527-0007304</t>
  </si>
  <si>
    <t>20250527-0007304-01</t>
  </si>
  <si>
    <t>유서진</t>
  </si>
  <si>
    <t>010-3920-6457</t>
  </si>
  <si>
    <t>031-702-6457</t>
  </si>
  <si>
    <t>경기도 수원시 영통구 매탄로 82 (매탄동) 우남퍼스트빌 208동 504호</t>
  </si>
  <si>
    <t>20250527-0008049</t>
  </si>
  <si>
    <t>20250527-0008049-02</t>
  </si>
  <si>
    <t>정하나</t>
  </si>
  <si>
    <t>010-6378-4190</t>
  </si>
  <si>
    <t>전라남도 나주시 대호동 1035 나주대호2차대방노블랜드아파트204-101</t>
  </si>
  <si>
    <t>20250527-0008737</t>
  </si>
  <si>
    <t>20250527-0008737-01</t>
  </si>
  <si>
    <t>박희정</t>
  </si>
  <si>
    <t>010-8201-7290</t>
  </si>
  <si>
    <t>02-6091-9977</t>
  </si>
  <si>
    <t>서울 양천구 중앙로36길 15 목동힐스테이트 105동 801호</t>
  </si>
  <si>
    <t>20250527-0009483</t>
  </si>
  <si>
    <t>20250527-0009483-02</t>
  </si>
  <si>
    <t>노신혜</t>
  </si>
  <si>
    <t>010-8895-4833</t>
  </si>
  <si>
    <t>031-976-9221</t>
  </si>
  <si>
    <t>경기도 고양시 덕양구 대덕산로 90 (덕은동) DMC자이더리버 104동 604호</t>
  </si>
  <si>
    <t>20250527-0010027</t>
  </si>
  <si>
    <t>20250527-0010027-01</t>
  </si>
  <si>
    <t>최유희</t>
  </si>
  <si>
    <t>010-5768-1356</t>
  </si>
  <si>
    <t>경기도 고양시 일산동구 정발산로82번길 10 (마두동) 정발마을7단지704동202호</t>
  </si>
  <si>
    <t>20250527-0010174</t>
  </si>
  <si>
    <t>20250527-0010174-02</t>
  </si>
  <si>
    <t>이유정</t>
  </si>
  <si>
    <t>010-9174-0174</t>
  </si>
  <si>
    <t>경기도 성남시 분당구 중앙공원로 20 (서현동) 시범단지현대아파트 412동 204호</t>
  </si>
  <si>
    <t>20250527-0010648</t>
  </si>
  <si>
    <t>20250527-0010648-01</t>
  </si>
  <si>
    <t>이규순</t>
  </si>
  <si>
    <t>010-3738-4913</t>
  </si>
  <si>
    <t>02-796-6591</t>
  </si>
  <si>
    <t>서울특별시 영등포구 영중로 119 (영등포동8가) 리마크빌영등포 a동1613호</t>
  </si>
  <si>
    <t>20250527-0010965</t>
  </si>
  <si>
    <t>20250527-0010965-01</t>
  </si>
  <si>
    <t>정소영</t>
  </si>
  <si>
    <t>010-9058-9239</t>
  </si>
  <si>
    <t>02-0000-0000</t>
  </si>
  <si>
    <t>대구광역시 달서구 상인동 1524 상인동서아파트 101동 1305호</t>
  </si>
  <si>
    <t>20250527-0011339</t>
  </si>
  <si>
    <t>20250527-0011339-01</t>
  </si>
  <si>
    <t>추연숙</t>
  </si>
  <si>
    <t>010-8590-7561</t>
  </si>
  <si>
    <t>대구광역시 달서구 감삼1길 97-6 (감삼동) 501호</t>
  </si>
  <si>
    <t>20250527-0011506</t>
  </si>
  <si>
    <t>20250527-0011506-01</t>
  </si>
  <si>
    <t>김은진</t>
  </si>
  <si>
    <t>010-2596-1466</t>
  </si>
  <si>
    <t>경상남도 양산시 물금읍 범어로 57 반도유보라2차아파트 101동 2101호</t>
  </si>
  <si>
    <t>20250528-0000396</t>
  </si>
  <si>
    <t>20250528-0000396-01</t>
  </si>
  <si>
    <t>임용의</t>
  </si>
  <si>
    <t>010-2565-5263</t>
  </si>
  <si>
    <t>02-430-5263</t>
  </si>
  <si>
    <t>경기 용인시 기흥구 탑실로 152 탑실마을 대주피오레2단지 207동2103호</t>
  </si>
  <si>
    <t>20250528-0000751</t>
  </si>
  <si>
    <t>20250528-0000751-01</t>
  </si>
  <si>
    <t>김승영</t>
  </si>
  <si>
    <t>010-5624-0782</t>
  </si>
  <si>
    <t>서울특별시 강동구 천중로35길 99-17 (천호동) 다성이즈빌, 301호</t>
  </si>
  <si>
    <t>20250528-0001061</t>
  </si>
  <si>
    <t>20250528-0001061-01</t>
  </si>
  <si>
    <t>홍유정</t>
  </si>
  <si>
    <t>010-7204-8183</t>
  </si>
  <si>
    <t>경기도 용인시 기흥구 언남로29번길 30-5 (언남동) 105-301</t>
  </si>
  <si>
    <t>20250528-0001553</t>
  </si>
  <si>
    <t>20250528-0001553-02</t>
  </si>
  <si>
    <t>이연희</t>
  </si>
  <si>
    <t>010-3698-2786</t>
  </si>
  <si>
    <t>제주특별자치도 제주시 은남길 8 삼성화재빌딩 9층 한라지점</t>
  </si>
  <si>
    <t>20250528-0001794</t>
  </si>
  <si>
    <t>20250528-0001794-01</t>
  </si>
  <si>
    <t>정지미</t>
  </si>
  <si>
    <t>010-4702-1322</t>
  </si>
  <si>
    <t>경기도 이천시 부발읍 경충대로2050번길 15-44 현대성우오스타3단지 301동 1902호</t>
  </si>
  <si>
    <t>20250528-0002287</t>
  </si>
  <si>
    <t>20250528-0002287-01</t>
  </si>
  <si>
    <t>신경희</t>
  </si>
  <si>
    <t>010-5295-0185</t>
  </si>
  <si>
    <t>서울특별시 중구 소월로2길 30 (남대문로5가) 남산트라팰리스 남산트라펠리스12층</t>
  </si>
  <si>
    <t>20250528-0002885</t>
  </si>
  <si>
    <t>20250528-0002885-01</t>
  </si>
  <si>
    <t>장혜민</t>
  </si>
  <si>
    <t>010-9314-9546</t>
  </si>
  <si>
    <t>055-632-9546</t>
  </si>
  <si>
    <t>부산광역시 금정구 식물원로 64 (장전동) 금정산에스케이뷰아파트109동1203호</t>
  </si>
  <si>
    <t>20250528-0003036</t>
  </si>
  <si>
    <t>20250528-0003036-01</t>
  </si>
  <si>
    <t>김정민</t>
  </si>
  <si>
    <t>010-9396-8001</t>
  </si>
  <si>
    <t>부산 남구 수영로 135 대연롯데캐슬레전드 125-3101호</t>
  </si>
  <si>
    <t>20250528-0003084</t>
  </si>
  <si>
    <t>20250528-0003084-01</t>
  </si>
  <si>
    <t>형윤선</t>
  </si>
  <si>
    <t>010-9139-4945</t>
  </si>
  <si>
    <t>인천광역시 계양구 봉오대로744번길 7 (작전동) 뉴서울1차아파트 3동 210호</t>
  </si>
  <si>
    <t>20250529-0000474</t>
  </si>
  <si>
    <t>20250529-0000474-01</t>
  </si>
  <si>
    <t>채혜욱</t>
  </si>
  <si>
    <t>010-8080-9676</t>
  </si>
  <si>
    <t>경북 칠곡군 왜관읍 평장3길 47 대동다숲아파트 203동 1001호</t>
  </si>
  <si>
    <t>20250529-0000925</t>
  </si>
  <si>
    <t>20250529-0000925-01</t>
  </si>
  <si>
    <t>홍성미</t>
  </si>
  <si>
    <t>010-4405-4437</t>
  </si>
  <si>
    <t>대전 유성구 은구비로 31 열매마을 아파트 5단지 501동1802호</t>
  </si>
  <si>
    <t>20250529-0003904</t>
  </si>
  <si>
    <t>20250529-0003904-01</t>
  </si>
  <si>
    <t>김현민</t>
  </si>
  <si>
    <t>010-5292-4918</t>
  </si>
  <si>
    <t>이충훈</t>
  </si>
  <si>
    <t>서울특별시 용산구 장문로6길 76 (동빙고동) 용산푸르지오파크타운 103동1204호</t>
  </si>
  <si>
    <t>20250529-0004517</t>
  </si>
  <si>
    <t>20250529-0004517-01</t>
  </si>
  <si>
    <t>이민아</t>
  </si>
  <si>
    <t>010-5757-7495</t>
  </si>
  <si>
    <t>충청북도 청주시 서원구 성화동 619 성화주공2단지아파트 210동 105호</t>
  </si>
  <si>
    <t>20250531-0004047</t>
  </si>
  <si>
    <t>20250531-0004047-01</t>
  </si>
  <si>
    <t>하승희</t>
  </si>
  <si>
    <t>010-4449-3591</t>
  </si>
  <si>
    <t>경기 광명시 하안로 284 하안12단지고층주공아파트 1223동401호</t>
  </si>
  <si>
    <t>20250601-0000464</t>
  </si>
  <si>
    <t>20250601-0000464-01</t>
  </si>
  <si>
    <t>김정희</t>
  </si>
  <si>
    <t>010-8279-7976</t>
  </si>
  <si>
    <t>서울특별시 성동구 행당로 82 (행당동) 행당한진타운 118동501호</t>
  </si>
  <si>
    <t>20250601-0000933</t>
  </si>
  <si>
    <t>20250601-0000933-02</t>
  </si>
  <si>
    <t>문지원</t>
  </si>
  <si>
    <t>010-4795-8342</t>
  </si>
  <si>
    <t>경기도 김포시 걸포2로 74 (걸포동) 한강메트로자이2단지 209동 2302호</t>
  </si>
  <si>
    <t>20250601-0003906</t>
  </si>
  <si>
    <t>20250601-0003906-01</t>
  </si>
  <si>
    <t>김혜영</t>
  </si>
  <si>
    <t>010-9080-6010</t>
  </si>
  <si>
    <t>02-980-0000</t>
  </si>
  <si>
    <t>서울특별시 영등포구 영신로57길 5 (당산동4가) 한강아파트 102-1503</t>
  </si>
  <si>
    <t>20250602-0001369</t>
  </si>
  <si>
    <t>20250602-0001369-01</t>
  </si>
  <si>
    <t>박은영</t>
  </si>
  <si>
    <t>010-4097-7588</t>
  </si>
  <si>
    <t>인천광역시 계양구 서운로 34 (서운동) 계양효성해링턴플레이스 103동 1004호</t>
  </si>
  <si>
    <t>배송 준비중</t>
  </si>
  <si>
    <t>20250603-0002271</t>
  </si>
  <si>
    <t>20250603-0002271-01</t>
  </si>
  <si>
    <t>신승희</t>
  </si>
  <si>
    <t>010-5820-9422</t>
  </si>
  <si>
    <t>경기 안산시 단원구 선부동 1088-5 산들하임 201호</t>
  </si>
  <si>
    <t>20250603-0002638</t>
  </si>
  <si>
    <t>20250603-0002638-01</t>
  </si>
  <si>
    <t>김은희</t>
  </si>
  <si>
    <t>010-8975-3664</t>
  </si>
  <si>
    <t>경기 고양시 덕양구 향동동 570 DMC리슈빌더포레스트 105동 601호</t>
  </si>
  <si>
    <t>옵션=3박스</t>
  </si>
  <si>
    <t>20250604-0000622</t>
  </si>
  <si>
    <t>20250604-0000622-01</t>
  </si>
  <si>
    <t>김경아</t>
  </si>
  <si>
    <t>010-9187-5242</t>
  </si>
  <si>
    <t>서울 강남구 논현동 156-24 302호</t>
  </si>
  <si>
    <t>상품 준비중</t>
  </si>
  <si>
    <t>20250604-0001519</t>
  </si>
  <si>
    <t>20250604-0001519-01</t>
  </si>
  <si>
    <t>이지은</t>
  </si>
  <si>
    <t>010-5534-7652</t>
  </si>
  <si>
    <t>경상남도 거제시 용소7길 20 (아주동) 숲속의아침 103동 1305호</t>
  </si>
  <si>
    <t>20250604-0001678</t>
  </si>
  <si>
    <t>20250604-0001678-01</t>
  </si>
  <si>
    <t>이수경</t>
  </si>
  <si>
    <t>010-4586-8677</t>
  </si>
  <si>
    <t>경북 구미시 인동35길 33 구미인의푸르지오 107동 103호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</si>
</sst>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b/>
      <sz val="11.0"/>
      <color rgb="FFFF0000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22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23</v>
      </c>
      <c r="B2" s="2">
        <v>45804.459340277775</v>
      </c>
      <c r="C2" s="2">
        <v>45804.459340277775</v>
      </c>
      <c r="D2" s="2">
        <v>45805.688310185185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28</v>
      </c>
      <c r="L2" s="1" t="s">
        <v>27</v>
      </c>
      <c r="M2" s="1">
        <v>12080.0</v>
      </c>
      <c r="N2" s="1" t="s">
        <v>29</v>
      </c>
      <c r="O2" s="1" t="s">
        <v>30</v>
      </c>
      <c r="P2" s="1" t="s">
        <v>31</v>
      </c>
      <c r="Q2" s="1">
        <v>1.0</v>
      </c>
      <c r="R2" s="1">
        <v>5.8906503241E11</v>
      </c>
      <c r="T2" s="1">
        <v>175000.0</v>
      </c>
      <c r="U2" s="1">
        <v>0.0</v>
      </c>
      <c r="V2" s="1">
        <v>0.0</v>
      </c>
      <c r="W2" s="1">
        <v>174100.0</v>
      </c>
    </row>
    <row r="3" ht="17.25" customHeight="1">
      <c r="A3" s="1" t="s">
        <v>23</v>
      </c>
      <c r="B3" s="2">
        <v>45804.461435185185</v>
      </c>
      <c r="C3" s="2">
        <v>45804.461435185185</v>
      </c>
      <c r="D3" s="2">
        <v>45805.688425925924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37</v>
      </c>
      <c r="M3" s="1">
        <v>42172.0</v>
      </c>
      <c r="N3" s="1" t="s">
        <v>38</v>
      </c>
      <c r="O3" s="1" t="s">
        <v>30</v>
      </c>
      <c r="P3" s="1" t="s">
        <v>31</v>
      </c>
      <c r="Q3" s="1">
        <v>2.0</v>
      </c>
      <c r="R3" s="1">
        <v>5.89065031496E11</v>
      </c>
      <c r="T3" s="1">
        <v>712000.0</v>
      </c>
      <c r="U3" s="1">
        <v>0.0</v>
      </c>
      <c r="V3" s="1">
        <v>0.0</v>
      </c>
      <c r="W3" s="1">
        <v>676400.0</v>
      </c>
    </row>
    <row r="4" ht="17.25" customHeight="1">
      <c r="A4" s="1" t="s">
        <v>23</v>
      </c>
      <c r="B4" s="2">
        <v>45804.461180555554</v>
      </c>
      <c r="C4" s="2">
        <v>45804.461180555554</v>
      </c>
      <c r="D4" s="2">
        <v>45805.68846064815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41</v>
      </c>
      <c r="K4" s="1" t="s">
        <v>42</v>
      </c>
      <c r="L4" s="1" t="s">
        <v>42</v>
      </c>
      <c r="M4" s="1">
        <v>10893.0</v>
      </c>
      <c r="N4" s="1" t="s">
        <v>43</v>
      </c>
      <c r="O4" s="1" t="s">
        <v>30</v>
      </c>
      <c r="P4" s="1" t="s">
        <v>31</v>
      </c>
      <c r="Q4" s="1">
        <v>1.0</v>
      </c>
      <c r="R4" s="1">
        <v>5.89065032535E11</v>
      </c>
      <c r="T4" s="1">
        <v>175000.0</v>
      </c>
      <c r="U4" s="1">
        <v>0.0</v>
      </c>
      <c r="V4" s="1">
        <v>0.0</v>
      </c>
      <c r="W4" s="1">
        <v>175000.0</v>
      </c>
    </row>
    <row r="5" ht="17.25" customHeight="1">
      <c r="A5" s="1" t="s">
        <v>23</v>
      </c>
      <c r="B5" s="2">
        <v>45804.4628125</v>
      </c>
      <c r="C5" s="2">
        <v>45804.4628125</v>
      </c>
      <c r="D5" s="2">
        <v>45805.68851851852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46</v>
      </c>
      <c r="K5" s="1" t="s">
        <v>47</v>
      </c>
      <c r="L5" s="1" t="s">
        <v>47</v>
      </c>
      <c r="M5" s="1">
        <v>7808.0</v>
      </c>
      <c r="N5" s="1" t="s">
        <v>48</v>
      </c>
      <c r="O5" s="1" t="s">
        <v>30</v>
      </c>
      <c r="P5" s="1" t="s">
        <v>31</v>
      </c>
      <c r="Q5" s="1">
        <v>1.0</v>
      </c>
      <c r="R5" s="1">
        <v>5.89065032395E11</v>
      </c>
      <c r="T5" s="1">
        <v>175000.0</v>
      </c>
      <c r="U5" s="1">
        <v>0.0</v>
      </c>
      <c r="V5" s="1">
        <v>0.0</v>
      </c>
      <c r="W5" s="1">
        <v>175000.0</v>
      </c>
    </row>
    <row r="6" ht="17.25" customHeight="1">
      <c r="A6" s="1" t="s">
        <v>23</v>
      </c>
      <c r="B6" s="2">
        <v>45804.463229166664</v>
      </c>
      <c r="C6" s="2">
        <v>45804.463229166664</v>
      </c>
      <c r="D6" s="2">
        <v>45805.69511574074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51</v>
      </c>
      <c r="K6" s="1" t="s">
        <v>52</v>
      </c>
      <c r="L6" s="1" t="s">
        <v>52</v>
      </c>
      <c r="M6" s="1">
        <v>16016.0</v>
      </c>
      <c r="N6" s="1" t="s">
        <v>53</v>
      </c>
      <c r="O6" s="1" t="s">
        <v>30</v>
      </c>
      <c r="P6" s="1" t="s">
        <v>54</v>
      </c>
      <c r="Q6" s="1">
        <v>1.0</v>
      </c>
      <c r="R6" s="1">
        <v>5.89065024146E11</v>
      </c>
      <c r="T6" s="1">
        <v>189000.0</v>
      </c>
      <c r="U6" s="1">
        <v>0.0</v>
      </c>
      <c r="V6" s="1">
        <v>0.0</v>
      </c>
      <c r="W6" s="1">
        <v>189000.0</v>
      </c>
    </row>
    <row r="7" ht="17.25" customHeight="1">
      <c r="A7" s="1" t="s">
        <v>23</v>
      </c>
      <c r="B7" s="2">
        <v>45804.46633101852</v>
      </c>
      <c r="C7" s="2">
        <v>45804.46633101852</v>
      </c>
      <c r="D7" s="2">
        <v>45805.68859953704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57</v>
      </c>
      <c r="K7" s="1" t="s">
        <v>58</v>
      </c>
      <c r="L7" s="1" t="s">
        <v>58</v>
      </c>
      <c r="M7" s="1">
        <v>50534.0</v>
      </c>
      <c r="N7" s="1" t="s">
        <v>59</v>
      </c>
      <c r="O7" s="1" t="s">
        <v>30</v>
      </c>
      <c r="P7" s="1" t="s">
        <v>31</v>
      </c>
      <c r="Q7" s="1">
        <v>1.0</v>
      </c>
      <c r="R7" s="1">
        <v>5.89065032572E11</v>
      </c>
      <c r="T7" s="1">
        <v>175000.0</v>
      </c>
      <c r="U7" s="1">
        <v>0.0</v>
      </c>
      <c r="V7" s="1">
        <v>0.0</v>
      </c>
      <c r="W7" s="1">
        <v>175000.0</v>
      </c>
    </row>
    <row r="8" ht="17.25" customHeight="1">
      <c r="A8" s="1" t="s">
        <v>23</v>
      </c>
      <c r="B8" s="2">
        <v>45804.46828703704</v>
      </c>
      <c r="C8" s="2">
        <v>45804.46828703704</v>
      </c>
      <c r="D8" s="2">
        <v>45805.68865740741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62</v>
      </c>
      <c r="K8" s="1" t="s">
        <v>63</v>
      </c>
      <c r="L8" s="1" t="s">
        <v>63</v>
      </c>
      <c r="M8" s="1">
        <v>44920.0</v>
      </c>
      <c r="N8" s="1" t="s">
        <v>64</v>
      </c>
      <c r="O8" s="1" t="s">
        <v>30</v>
      </c>
      <c r="P8" s="1" t="s">
        <v>31</v>
      </c>
      <c r="Q8" s="1">
        <v>1.0</v>
      </c>
      <c r="R8" s="1">
        <v>5.89065032454E11</v>
      </c>
      <c r="T8" s="1">
        <v>175000.0</v>
      </c>
      <c r="U8" s="1">
        <v>0.0</v>
      </c>
      <c r="V8" s="1">
        <v>0.0</v>
      </c>
      <c r="W8" s="1">
        <v>175000.0</v>
      </c>
    </row>
    <row r="9" ht="17.25" customHeight="1">
      <c r="A9" s="1" t="s">
        <v>23</v>
      </c>
      <c r="B9" s="2">
        <v>45804.47314814815</v>
      </c>
      <c r="C9" s="2">
        <v>45804.47314814815</v>
      </c>
      <c r="D9" s="2">
        <v>45805.688738425924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>
        <v>30083.0</v>
      </c>
      <c r="N9" s="1" t="s">
        <v>72</v>
      </c>
      <c r="O9" s="1" t="s">
        <v>30</v>
      </c>
      <c r="P9" s="1" t="s">
        <v>31</v>
      </c>
      <c r="Q9" s="1">
        <v>1.0</v>
      </c>
      <c r="R9" s="1">
        <v>5.89065032465E11</v>
      </c>
      <c r="T9" s="1">
        <v>175000.0</v>
      </c>
      <c r="U9" s="1">
        <v>0.0</v>
      </c>
      <c r="V9" s="1">
        <v>0.0</v>
      </c>
      <c r="W9" s="1">
        <v>175000.0</v>
      </c>
    </row>
    <row r="10" ht="17.25" customHeight="1">
      <c r="A10" s="1" t="s">
        <v>23</v>
      </c>
      <c r="B10" s="2">
        <v>45804.473958333336</v>
      </c>
      <c r="C10" s="2">
        <v>45804.473958333336</v>
      </c>
      <c r="D10" s="2">
        <v>45805.68875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75</v>
      </c>
      <c r="K10" s="1" t="s">
        <v>76</v>
      </c>
      <c r="L10" s="1" t="s">
        <v>76</v>
      </c>
      <c r="M10" s="1">
        <v>16711.0</v>
      </c>
      <c r="N10" s="1" t="s">
        <v>77</v>
      </c>
      <c r="O10" s="1" t="s">
        <v>30</v>
      </c>
      <c r="P10" s="1" t="s">
        <v>31</v>
      </c>
      <c r="Q10" s="1">
        <v>1.0</v>
      </c>
      <c r="R10" s="1">
        <v>5.89065032373E11</v>
      </c>
      <c r="T10" s="1">
        <v>175000.0</v>
      </c>
      <c r="U10" s="1">
        <v>0.0</v>
      </c>
      <c r="V10" s="1">
        <v>0.0</v>
      </c>
      <c r="W10" s="1">
        <v>175000.0</v>
      </c>
    </row>
    <row r="11" ht="17.25" customHeight="1">
      <c r="A11" s="1" t="s">
        <v>23</v>
      </c>
      <c r="B11" s="2">
        <v>45804.4765625</v>
      </c>
      <c r="C11" s="2">
        <v>45804.48180555556</v>
      </c>
      <c r="D11" s="2">
        <v>45805.688784722224</v>
      </c>
      <c r="F11" s="1" t="s">
        <v>78</v>
      </c>
      <c r="G11" s="1" t="s">
        <v>79</v>
      </c>
      <c r="H11" s="1" t="s">
        <v>80</v>
      </c>
      <c r="I11" s="1" t="s">
        <v>81</v>
      </c>
      <c r="J11" s="1" t="s">
        <v>80</v>
      </c>
      <c r="K11" s="1" t="s">
        <v>82</v>
      </c>
      <c r="L11" s="1" t="s">
        <v>81</v>
      </c>
      <c r="M11" s="1">
        <v>14072.0</v>
      </c>
      <c r="N11" s="1" t="s">
        <v>83</v>
      </c>
      <c r="O11" s="1" t="s">
        <v>30</v>
      </c>
      <c r="P11" s="1" t="s">
        <v>31</v>
      </c>
      <c r="Q11" s="1">
        <v>1.0</v>
      </c>
      <c r="R11" s="1">
        <v>5.8906503248E11</v>
      </c>
      <c r="T11" s="1">
        <v>175000.0</v>
      </c>
      <c r="U11" s="1">
        <v>0.0</v>
      </c>
      <c r="V11" s="1">
        <v>0.0</v>
      </c>
      <c r="W11" s="1">
        <v>175000.0</v>
      </c>
    </row>
    <row r="12" ht="17.25" customHeight="1">
      <c r="A12" s="1" t="s">
        <v>23</v>
      </c>
      <c r="B12" s="2">
        <v>45804.480416666665</v>
      </c>
      <c r="C12" s="2">
        <v>45804.480416666665</v>
      </c>
      <c r="D12" s="2">
        <v>45805.68881944445</v>
      </c>
      <c r="F12" s="1" t="s">
        <v>84</v>
      </c>
      <c r="G12" s="1" t="s">
        <v>85</v>
      </c>
      <c r="H12" s="1" t="s">
        <v>86</v>
      </c>
      <c r="I12" s="1" t="s">
        <v>87</v>
      </c>
      <c r="J12" s="1" t="s">
        <v>86</v>
      </c>
      <c r="K12" s="1" t="s">
        <v>87</v>
      </c>
      <c r="L12" s="1" t="s">
        <v>87</v>
      </c>
      <c r="M12" s="1">
        <v>48530.0</v>
      </c>
      <c r="N12" s="1" t="s">
        <v>88</v>
      </c>
      <c r="O12" s="1" t="s">
        <v>30</v>
      </c>
      <c r="P12" s="1" t="s">
        <v>31</v>
      </c>
      <c r="Q12" s="1">
        <v>1.0</v>
      </c>
      <c r="R12" s="1">
        <v>5.89065032605E11</v>
      </c>
      <c r="T12" s="1">
        <v>175000.0</v>
      </c>
      <c r="U12" s="1">
        <v>0.0</v>
      </c>
      <c r="V12" s="1">
        <v>0.0</v>
      </c>
      <c r="W12" s="1">
        <v>175000.0</v>
      </c>
    </row>
    <row r="13" ht="17.25" customHeight="1">
      <c r="A13" s="1" t="s">
        <v>23</v>
      </c>
      <c r="B13" s="2">
        <v>45804.48193287037</v>
      </c>
      <c r="C13" s="2">
        <v>45804.48193287037</v>
      </c>
      <c r="D13" s="2">
        <v>45805.68884259259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91</v>
      </c>
      <c r="K13" s="1" t="s">
        <v>92</v>
      </c>
      <c r="L13" s="1" t="s">
        <v>92</v>
      </c>
      <c r="M13" s="1">
        <v>37119.0</v>
      </c>
      <c r="N13" s="1" t="s">
        <v>93</v>
      </c>
      <c r="O13" s="1" t="s">
        <v>30</v>
      </c>
      <c r="P13" s="1" t="s">
        <v>54</v>
      </c>
      <c r="Q13" s="1">
        <v>1.0</v>
      </c>
      <c r="R13" s="1">
        <v>5.89065032745E11</v>
      </c>
      <c r="T13" s="1">
        <v>180000.0</v>
      </c>
      <c r="U13" s="1">
        <v>0.0</v>
      </c>
      <c r="V13" s="1">
        <v>0.0</v>
      </c>
      <c r="W13" s="1">
        <v>180000.0</v>
      </c>
    </row>
    <row r="14" ht="17.25" customHeight="1">
      <c r="A14" s="1" t="s">
        <v>94</v>
      </c>
      <c r="B14" s="2">
        <v>45804.49140046296</v>
      </c>
      <c r="C14" s="2">
        <v>45804.49140046296</v>
      </c>
      <c r="E14" s="2">
        <v>45804.71052083333</v>
      </c>
      <c r="F14" s="1" t="s">
        <v>95</v>
      </c>
      <c r="G14" s="1" t="s">
        <v>96</v>
      </c>
      <c r="H14" s="1" t="s">
        <v>97</v>
      </c>
      <c r="I14" s="1" t="s">
        <v>98</v>
      </c>
      <c r="J14" s="1" t="s">
        <v>97</v>
      </c>
      <c r="K14" s="1" t="s">
        <v>99</v>
      </c>
      <c r="L14" s="1" t="s">
        <v>98</v>
      </c>
      <c r="M14" s="1">
        <v>17586.0</v>
      </c>
      <c r="N14" s="1" t="s">
        <v>100</v>
      </c>
      <c r="O14" s="1" t="s">
        <v>30</v>
      </c>
      <c r="P14" s="1" t="s">
        <v>31</v>
      </c>
      <c r="Q14" s="1">
        <v>1.0</v>
      </c>
      <c r="T14" s="1">
        <v>175000.0</v>
      </c>
      <c r="U14" s="1">
        <v>0.0</v>
      </c>
      <c r="V14" s="1">
        <v>0.0</v>
      </c>
      <c r="W14" s="1">
        <v>0.0</v>
      </c>
    </row>
    <row r="15" ht="17.25" customHeight="1">
      <c r="A15" s="1" t="s">
        <v>23</v>
      </c>
      <c r="B15" s="2">
        <v>45804.49251157408</v>
      </c>
      <c r="C15" s="2">
        <v>45804.49251157408</v>
      </c>
      <c r="D15" s="2">
        <v>45805.68890046296</v>
      </c>
      <c r="F15" s="1" t="s">
        <v>101</v>
      </c>
      <c r="G15" s="1" t="s">
        <v>102</v>
      </c>
      <c r="H15" s="1" t="s">
        <v>103</v>
      </c>
      <c r="I15" s="1" t="s">
        <v>104</v>
      </c>
      <c r="J15" s="1" t="s">
        <v>103</v>
      </c>
      <c r="K15" s="1" t="s">
        <v>104</v>
      </c>
      <c r="L15" s="1" t="s">
        <v>104</v>
      </c>
      <c r="M15" s="1">
        <v>4024.0</v>
      </c>
      <c r="N15" s="1" t="s">
        <v>105</v>
      </c>
      <c r="O15" s="1" t="s">
        <v>30</v>
      </c>
      <c r="P15" s="1" t="s">
        <v>31</v>
      </c>
      <c r="Q15" s="1">
        <v>1.0</v>
      </c>
      <c r="R15" s="1">
        <v>5.89065032502E11</v>
      </c>
      <c r="T15" s="1">
        <v>175000.0</v>
      </c>
      <c r="U15" s="1">
        <v>0.0</v>
      </c>
      <c r="V15" s="1">
        <v>0.0</v>
      </c>
      <c r="W15" s="1">
        <v>175000.0</v>
      </c>
    </row>
    <row r="16" ht="17.25" customHeight="1">
      <c r="A16" s="1" t="s">
        <v>23</v>
      </c>
      <c r="B16" s="2">
        <v>45804.495</v>
      </c>
      <c r="C16" s="2">
        <v>45804.495</v>
      </c>
      <c r="D16" s="2">
        <v>45805.68891203704</v>
      </c>
      <c r="F16" s="1" t="s">
        <v>106</v>
      </c>
      <c r="G16" s="1" t="s">
        <v>107</v>
      </c>
      <c r="H16" s="1" t="s">
        <v>108</v>
      </c>
      <c r="I16" s="1" t="s">
        <v>109</v>
      </c>
      <c r="J16" s="1" t="s">
        <v>110</v>
      </c>
      <c r="K16" s="1" t="s">
        <v>111</v>
      </c>
      <c r="L16" s="1" t="s">
        <v>109</v>
      </c>
      <c r="M16" s="1">
        <v>13010.0</v>
      </c>
      <c r="N16" s="1" t="s">
        <v>112</v>
      </c>
      <c r="O16" s="1" t="s">
        <v>30</v>
      </c>
      <c r="P16" s="1" t="s">
        <v>113</v>
      </c>
      <c r="Q16" s="1">
        <v>1.0</v>
      </c>
      <c r="R16" s="1">
        <v>5.89065033482E11</v>
      </c>
      <c r="T16" s="1">
        <v>38000.0</v>
      </c>
      <c r="U16" s="1">
        <v>0.0</v>
      </c>
      <c r="V16" s="1">
        <v>3000.0</v>
      </c>
      <c r="W16" s="1">
        <v>38800.0</v>
      </c>
    </row>
    <row r="17" ht="17.25" customHeight="1">
      <c r="A17" s="1" t="s">
        <v>23</v>
      </c>
      <c r="B17" s="2">
        <v>45804.50164351852</v>
      </c>
      <c r="C17" s="2">
        <v>45804.50164351852</v>
      </c>
      <c r="D17" s="2">
        <v>45805.68896990741</v>
      </c>
      <c r="F17" s="1" t="s">
        <v>114</v>
      </c>
      <c r="G17" s="1" t="s">
        <v>115</v>
      </c>
      <c r="H17" s="1" t="s">
        <v>116</v>
      </c>
      <c r="I17" s="1" t="s">
        <v>117</v>
      </c>
      <c r="J17" s="1" t="s">
        <v>116</v>
      </c>
      <c r="K17" s="1" t="s">
        <v>117</v>
      </c>
      <c r="L17" s="1" t="s">
        <v>117</v>
      </c>
      <c r="M17" s="1">
        <v>18034.0</v>
      </c>
      <c r="N17" s="1" t="s">
        <v>118</v>
      </c>
      <c r="O17" s="1" t="s">
        <v>30</v>
      </c>
      <c r="P17" s="1" t="s">
        <v>31</v>
      </c>
      <c r="Q17" s="1">
        <v>1.0</v>
      </c>
      <c r="R17" s="1">
        <v>5.89065032491E11</v>
      </c>
      <c r="T17" s="1">
        <v>175000.0</v>
      </c>
      <c r="U17" s="1">
        <v>0.0</v>
      </c>
      <c r="V17" s="1">
        <v>0.0</v>
      </c>
      <c r="W17" s="1">
        <v>175000.0</v>
      </c>
    </row>
    <row r="18" ht="17.25" customHeight="1">
      <c r="A18" s="1" t="s">
        <v>23</v>
      </c>
      <c r="B18" s="2">
        <v>45804.51366898148</v>
      </c>
      <c r="C18" s="2">
        <v>45804.51366898148</v>
      </c>
      <c r="D18" s="2">
        <v>45805.6890625</v>
      </c>
      <c r="F18" s="1" t="s">
        <v>119</v>
      </c>
      <c r="G18" s="1" t="s">
        <v>120</v>
      </c>
      <c r="H18" s="1" t="s">
        <v>121</v>
      </c>
      <c r="I18" s="1" t="s">
        <v>122</v>
      </c>
      <c r="J18" s="1" t="s">
        <v>121</v>
      </c>
      <c r="K18" s="1" t="s">
        <v>122</v>
      </c>
      <c r="L18" s="1" t="s">
        <v>122</v>
      </c>
      <c r="M18" s="1">
        <v>25909.0</v>
      </c>
      <c r="N18" s="1" t="s">
        <v>123</v>
      </c>
      <c r="O18" s="1" t="s">
        <v>30</v>
      </c>
      <c r="P18" s="1" t="s">
        <v>31</v>
      </c>
      <c r="Q18" s="1">
        <v>1.0</v>
      </c>
      <c r="R18" s="1">
        <v>5.89065032421E11</v>
      </c>
      <c r="T18" s="1">
        <v>175000.0</v>
      </c>
      <c r="U18" s="1">
        <v>0.0</v>
      </c>
      <c r="V18" s="1">
        <v>0.0</v>
      </c>
      <c r="W18" s="1">
        <v>175000.0</v>
      </c>
    </row>
    <row r="19" ht="17.25" customHeight="1">
      <c r="A19" s="1" t="s">
        <v>23</v>
      </c>
      <c r="B19" s="2">
        <v>45804.51732638889</v>
      </c>
      <c r="C19" s="2">
        <v>45804.51732638889</v>
      </c>
      <c r="D19" s="2">
        <v>45805.68907407407</v>
      </c>
      <c r="F19" s="1" t="s">
        <v>124</v>
      </c>
      <c r="G19" s="1" t="s">
        <v>125</v>
      </c>
      <c r="H19" s="1" t="s">
        <v>126</v>
      </c>
      <c r="I19" s="1" t="s">
        <v>127</v>
      </c>
      <c r="J19" s="1" t="s">
        <v>126</v>
      </c>
      <c r="K19" s="1" t="s">
        <v>128</v>
      </c>
      <c r="L19" s="1" t="s">
        <v>127</v>
      </c>
      <c r="M19" s="1">
        <v>7039.0</v>
      </c>
      <c r="N19" s="1" t="s">
        <v>129</v>
      </c>
      <c r="O19" s="1" t="s">
        <v>30</v>
      </c>
      <c r="P19" s="1" t="s">
        <v>31</v>
      </c>
      <c r="Q19" s="1">
        <v>1.0</v>
      </c>
      <c r="R19" s="1">
        <v>5.89065032443E11</v>
      </c>
      <c r="T19" s="1">
        <v>175000.0</v>
      </c>
      <c r="U19" s="1">
        <v>0.0</v>
      </c>
      <c r="V19" s="1">
        <v>0.0</v>
      </c>
      <c r="W19" s="1">
        <v>175000.0</v>
      </c>
    </row>
    <row r="20" ht="17.25" customHeight="1">
      <c r="A20" s="1" t="s">
        <v>130</v>
      </c>
      <c r="B20" s="2">
        <v>45804.52835648148</v>
      </c>
      <c r="C20" s="2">
        <v>45804.52835648148</v>
      </c>
      <c r="D20" s="2">
        <v>45810.722280092596</v>
      </c>
      <c r="F20" s="1" t="s">
        <v>131</v>
      </c>
      <c r="G20" s="1" t="s">
        <v>132</v>
      </c>
      <c r="H20" s="1" t="s">
        <v>133</v>
      </c>
      <c r="I20" s="1" t="s">
        <v>134</v>
      </c>
      <c r="J20" s="1" t="s">
        <v>133</v>
      </c>
      <c r="K20" s="1" t="s">
        <v>135</v>
      </c>
      <c r="L20" s="1" t="s">
        <v>134</v>
      </c>
      <c r="M20" s="1">
        <v>14922.0</v>
      </c>
      <c r="N20" s="1" t="s">
        <v>136</v>
      </c>
      <c r="O20" s="1" t="s">
        <v>30</v>
      </c>
      <c r="P20" s="1" t="s">
        <v>31</v>
      </c>
      <c r="Q20" s="1">
        <v>1.0</v>
      </c>
      <c r="R20" s="1">
        <v>5.8906511949E11</v>
      </c>
      <c r="T20" s="1">
        <v>356000.0</v>
      </c>
      <c r="U20" s="1">
        <v>0.0</v>
      </c>
      <c r="V20" s="1">
        <v>0.0</v>
      </c>
      <c r="W20" s="1">
        <v>356000.0</v>
      </c>
    </row>
    <row r="21" ht="17.25" customHeight="1">
      <c r="A21" s="1" t="s">
        <v>23</v>
      </c>
      <c r="B21" s="2">
        <v>45804.53685185185</v>
      </c>
      <c r="C21" s="2">
        <v>45804.53685185185</v>
      </c>
      <c r="D21" s="2">
        <v>45805.69513888889</v>
      </c>
      <c r="F21" s="1" t="s">
        <v>137</v>
      </c>
      <c r="G21" s="1" t="s">
        <v>138</v>
      </c>
      <c r="H21" s="1" t="s">
        <v>139</v>
      </c>
      <c r="I21" s="1" t="s">
        <v>140</v>
      </c>
      <c r="J21" s="1" t="s">
        <v>139</v>
      </c>
      <c r="K21" s="1" t="s">
        <v>140</v>
      </c>
      <c r="L21" s="1" t="s">
        <v>140</v>
      </c>
      <c r="M21" s="1">
        <v>41550.0</v>
      </c>
      <c r="N21" s="1" t="s">
        <v>141</v>
      </c>
      <c r="O21" s="1" t="s">
        <v>30</v>
      </c>
      <c r="P21" s="1" t="s">
        <v>31</v>
      </c>
      <c r="Q21" s="1">
        <v>1.0</v>
      </c>
      <c r="R21" s="1">
        <v>5.89065023866E11</v>
      </c>
      <c r="T21" s="1">
        <v>350000.0</v>
      </c>
      <c r="U21" s="1">
        <v>0.0</v>
      </c>
      <c r="V21" s="1">
        <v>0.0</v>
      </c>
      <c r="W21" s="1">
        <v>350000.0</v>
      </c>
    </row>
    <row r="22" ht="17.25" customHeight="1">
      <c r="A22" s="1" t="s">
        <v>23</v>
      </c>
      <c r="B22" s="2">
        <v>45804.53875</v>
      </c>
      <c r="C22" s="2">
        <v>45804.53875</v>
      </c>
      <c r="D22" s="2">
        <v>45805.689155092594</v>
      </c>
      <c r="F22" s="1" t="s">
        <v>142</v>
      </c>
      <c r="G22" s="1" t="s">
        <v>143</v>
      </c>
      <c r="H22" s="1" t="s">
        <v>144</v>
      </c>
      <c r="I22" s="1" t="s">
        <v>145</v>
      </c>
      <c r="J22" s="1" t="s">
        <v>144</v>
      </c>
      <c r="K22" s="1" t="s">
        <v>145</v>
      </c>
      <c r="L22" s="1" t="s">
        <v>145</v>
      </c>
      <c r="M22" s="1">
        <v>50575.0</v>
      </c>
      <c r="N22" s="1" t="s">
        <v>146</v>
      </c>
      <c r="O22" s="1" t="s">
        <v>30</v>
      </c>
      <c r="P22" s="1" t="s">
        <v>31</v>
      </c>
      <c r="Q22" s="1">
        <v>1.0</v>
      </c>
      <c r="R22" s="1">
        <v>5.8906503255E11</v>
      </c>
      <c r="T22" s="1">
        <v>175000.0</v>
      </c>
      <c r="U22" s="1">
        <v>0.0</v>
      </c>
      <c r="V22" s="1">
        <v>0.0</v>
      </c>
      <c r="W22" s="1">
        <v>175000.0</v>
      </c>
    </row>
    <row r="23" ht="17.25" customHeight="1">
      <c r="A23" s="1" t="s">
        <v>23</v>
      </c>
      <c r="B23" s="2">
        <v>45804.5565625</v>
      </c>
      <c r="C23" s="2">
        <v>45804.6358912037</v>
      </c>
      <c r="D23" s="2">
        <v>45805.69802083333</v>
      </c>
      <c r="F23" s="1" t="s">
        <v>147</v>
      </c>
      <c r="G23" s="1" t="s">
        <v>148</v>
      </c>
      <c r="H23" s="1" t="s">
        <v>149</v>
      </c>
      <c r="I23" s="1" t="s">
        <v>150</v>
      </c>
      <c r="J23" s="1" t="s">
        <v>149</v>
      </c>
      <c r="K23" s="1" t="s">
        <v>151</v>
      </c>
      <c r="L23" s="1" t="s">
        <v>150</v>
      </c>
      <c r="M23" s="1">
        <v>16850.0</v>
      </c>
      <c r="N23" s="1" t="s">
        <v>152</v>
      </c>
      <c r="O23" s="1" t="s">
        <v>30</v>
      </c>
      <c r="P23" s="1" t="s">
        <v>153</v>
      </c>
      <c r="Q23" s="1">
        <v>1.0</v>
      </c>
      <c r="R23" s="1">
        <v>5.89065024102E11</v>
      </c>
      <c r="T23" s="1">
        <v>288000.0</v>
      </c>
      <c r="U23" s="1">
        <v>0.0</v>
      </c>
      <c r="V23" s="1">
        <v>0.0</v>
      </c>
      <c r="W23" s="1">
        <v>288000.0</v>
      </c>
    </row>
    <row r="24" ht="17.25" customHeight="1">
      <c r="A24" s="1" t="s">
        <v>23</v>
      </c>
      <c r="B24" s="2">
        <v>45804.56193287037</v>
      </c>
      <c r="C24" s="2">
        <v>45804.56193287037</v>
      </c>
      <c r="D24" s="2">
        <v>45805.68922453704</v>
      </c>
      <c r="F24" s="1" t="s">
        <v>154</v>
      </c>
      <c r="G24" s="1" t="s">
        <v>155</v>
      </c>
      <c r="H24" s="1" t="s">
        <v>156</v>
      </c>
      <c r="I24" s="1" t="s">
        <v>157</v>
      </c>
      <c r="J24" s="1" t="s">
        <v>156</v>
      </c>
      <c r="K24" s="1" t="s">
        <v>158</v>
      </c>
      <c r="L24" s="1" t="s">
        <v>157</v>
      </c>
      <c r="M24" s="1">
        <v>16547.0</v>
      </c>
      <c r="N24" s="1" t="s">
        <v>159</v>
      </c>
      <c r="O24" s="1" t="s">
        <v>30</v>
      </c>
      <c r="P24" s="1" t="s">
        <v>54</v>
      </c>
      <c r="Q24" s="1">
        <v>1.0</v>
      </c>
      <c r="R24" s="1">
        <v>5.89065033272E11</v>
      </c>
      <c r="T24" s="1">
        <v>75000.0</v>
      </c>
      <c r="U24" s="1">
        <v>0.0</v>
      </c>
      <c r="V24" s="1">
        <v>0.0</v>
      </c>
      <c r="W24" s="1">
        <v>75000.0</v>
      </c>
    </row>
    <row r="25" ht="17.25" customHeight="1">
      <c r="A25" s="1" t="s">
        <v>23</v>
      </c>
      <c r="B25" s="2">
        <v>45804.61739583333</v>
      </c>
      <c r="C25" s="2">
        <v>45804.61739583333</v>
      </c>
      <c r="D25" s="2">
        <v>45805.68934027778</v>
      </c>
      <c r="F25" s="1" t="s">
        <v>160</v>
      </c>
      <c r="G25" s="1" t="s">
        <v>161</v>
      </c>
      <c r="H25" s="1" t="s">
        <v>162</v>
      </c>
      <c r="I25" s="1" t="s">
        <v>163</v>
      </c>
      <c r="J25" s="1" t="s">
        <v>162</v>
      </c>
      <c r="K25" s="1" t="s">
        <v>163</v>
      </c>
      <c r="L25" s="1" t="s">
        <v>163</v>
      </c>
      <c r="M25" s="1">
        <v>58244.0</v>
      </c>
      <c r="N25" s="1" t="s">
        <v>164</v>
      </c>
      <c r="O25" s="1" t="s">
        <v>30</v>
      </c>
      <c r="P25" s="1" t="s">
        <v>31</v>
      </c>
      <c r="Q25" s="1">
        <v>1.0</v>
      </c>
      <c r="R25" s="1">
        <v>5.89065032546E11</v>
      </c>
      <c r="T25" s="1">
        <v>356000.0</v>
      </c>
      <c r="U25" s="1">
        <v>0.0</v>
      </c>
      <c r="V25" s="1">
        <v>0.0</v>
      </c>
      <c r="W25" s="1">
        <v>356000.0</v>
      </c>
    </row>
    <row r="26" ht="17.25" customHeight="1">
      <c r="A26" s="1" t="s">
        <v>23</v>
      </c>
      <c r="B26" s="2">
        <v>45804.676203703704</v>
      </c>
      <c r="C26" s="2">
        <v>45804.676203703704</v>
      </c>
      <c r="D26" s="2">
        <v>45805.68943287037</v>
      </c>
      <c r="F26" s="1" t="s">
        <v>165</v>
      </c>
      <c r="G26" s="1" t="s">
        <v>166</v>
      </c>
      <c r="H26" s="1" t="s">
        <v>167</v>
      </c>
      <c r="I26" s="1" t="s">
        <v>168</v>
      </c>
      <c r="J26" s="1" t="s">
        <v>167</v>
      </c>
      <c r="K26" s="1" t="s">
        <v>169</v>
      </c>
      <c r="L26" s="1" t="s">
        <v>168</v>
      </c>
      <c r="M26" s="1">
        <v>8083.0</v>
      </c>
      <c r="N26" s="1" t="s">
        <v>170</v>
      </c>
      <c r="O26" s="1" t="s">
        <v>30</v>
      </c>
      <c r="P26" s="1" t="s">
        <v>31</v>
      </c>
      <c r="Q26" s="1">
        <v>1.0</v>
      </c>
      <c r="R26" s="1">
        <v>5.89065032476E11</v>
      </c>
      <c r="T26" s="1">
        <v>175000.0</v>
      </c>
      <c r="U26" s="1">
        <v>0.0</v>
      </c>
      <c r="V26" s="1">
        <v>0.0</v>
      </c>
      <c r="W26" s="1">
        <v>175000.0</v>
      </c>
    </row>
    <row r="27" ht="17.25" customHeight="1">
      <c r="A27" s="1" t="s">
        <v>23</v>
      </c>
      <c r="B27" s="2">
        <v>45804.754699074074</v>
      </c>
      <c r="C27" s="2">
        <v>45804.754699074074</v>
      </c>
      <c r="D27" s="2">
        <v>45805.689571759256</v>
      </c>
      <c r="F27" s="1" t="s">
        <v>171</v>
      </c>
      <c r="G27" s="1" t="s">
        <v>172</v>
      </c>
      <c r="H27" s="1" t="s">
        <v>173</v>
      </c>
      <c r="I27" s="1" t="s">
        <v>174</v>
      </c>
      <c r="J27" s="1" t="s">
        <v>173</v>
      </c>
      <c r="K27" s="1" t="s">
        <v>175</v>
      </c>
      <c r="L27" s="1" t="s">
        <v>174</v>
      </c>
      <c r="M27" s="1">
        <v>10543.0</v>
      </c>
      <c r="N27" s="1" t="s">
        <v>176</v>
      </c>
      <c r="O27" s="1" t="s">
        <v>30</v>
      </c>
      <c r="P27" s="1" t="s">
        <v>31</v>
      </c>
      <c r="Q27" s="1">
        <v>1.0</v>
      </c>
      <c r="R27" s="1">
        <v>5.89065026946E11</v>
      </c>
      <c r="T27" s="1">
        <v>491000.0</v>
      </c>
      <c r="U27" s="1">
        <v>0.0</v>
      </c>
      <c r="V27" s="1">
        <v>0.0</v>
      </c>
      <c r="W27" s="1">
        <v>491000.0</v>
      </c>
    </row>
    <row r="28" ht="17.25" customHeight="1">
      <c r="A28" s="1" t="s">
        <v>23</v>
      </c>
      <c r="B28" s="2">
        <v>45804.836747685185</v>
      </c>
      <c r="C28" s="2">
        <v>45804.836747685185</v>
      </c>
      <c r="D28" s="2">
        <v>45805.68971064815</v>
      </c>
      <c r="F28" s="1" t="s">
        <v>177</v>
      </c>
      <c r="G28" s="1" t="s">
        <v>178</v>
      </c>
      <c r="H28" s="1" t="s">
        <v>179</v>
      </c>
      <c r="I28" s="1" t="s">
        <v>180</v>
      </c>
      <c r="J28" s="1" t="s">
        <v>179</v>
      </c>
      <c r="K28" s="1" t="s">
        <v>180</v>
      </c>
      <c r="L28" s="1" t="s">
        <v>180</v>
      </c>
      <c r="M28" s="1">
        <v>10410.0</v>
      </c>
      <c r="N28" s="1" t="s">
        <v>181</v>
      </c>
      <c r="O28" s="1" t="s">
        <v>30</v>
      </c>
      <c r="P28" s="1" t="s">
        <v>31</v>
      </c>
      <c r="Q28" s="1">
        <v>1.0</v>
      </c>
      <c r="R28" s="1">
        <v>5.89065032981E11</v>
      </c>
      <c r="T28" s="1">
        <v>259000.0</v>
      </c>
      <c r="U28" s="1">
        <v>0.0</v>
      </c>
      <c r="V28" s="1">
        <v>0.0</v>
      </c>
      <c r="W28" s="1">
        <v>259000.0</v>
      </c>
    </row>
    <row r="29" ht="17.25" customHeight="1">
      <c r="A29" s="1" t="s">
        <v>23</v>
      </c>
      <c r="B29" s="2">
        <v>45804.85319444445</v>
      </c>
      <c r="C29" s="2">
        <v>45804.85319444445</v>
      </c>
      <c r="D29" s="2">
        <v>45805.689733796295</v>
      </c>
      <c r="F29" s="1" t="s">
        <v>182</v>
      </c>
      <c r="G29" s="1" t="s">
        <v>183</v>
      </c>
      <c r="H29" s="1" t="s">
        <v>184</v>
      </c>
      <c r="I29" s="1" t="s">
        <v>185</v>
      </c>
      <c r="J29" s="1" t="s">
        <v>184</v>
      </c>
      <c r="K29" s="1" t="s">
        <v>185</v>
      </c>
      <c r="L29" s="1" t="s">
        <v>185</v>
      </c>
      <c r="M29" s="1">
        <v>13589.0</v>
      </c>
      <c r="N29" s="1" t="s">
        <v>186</v>
      </c>
      <c r="O29" s="1" t="s">
        <v>30</v>
      </c>
      <c r="P29" s="1" t="s">
        <v>153</v>
      </c>
      <c r="Q29" s="1">
        <v>1.0</v>
      </c>
      <c r="R29" s="1">
        <v>5.89065032734E11</v>
      </c>
      <c r="T29" s="1">
        <v>220000.0</v>
      </c>
      <c r="U29" s="1">
        <v>0.0</v>
      </c>
      <c r="V29" s="1">
        <v>0.0</v>
      </c>
      <c r="W29" s="1">
        <v>220000.0</v>
      </c>
    </row>
    <row r="30" ht="17.25" customHeight="1">
      <c r="A30" s="1" t="s">
        <v>130</v>
      </c>
      <c r="B30" s="2">
        <v>45804.8858912037</v>
      </c>
      <c r="C30" s="2">
        <v>45805.41601851852</v>
      </c>
      <c r="D30" s="2">
        <v>45807.38818287037</v>
      </c>
      <c r="F30" s="1" t="s">
        <v>187</v>
      </c>
      <c r="G30" s="1" t="s">
        <v>188</v>
      </c>
      <c r="H30" s="1" t="s">
        <v>189</v>
      </c>
      <c r="I30" s="1" t="s">
        <v>190</v>
      </c>
      <c r="J30" s="1" t="s">
        <v>189</v>
      </c>
      <c r="K30" s="1" t="s">
        <v>191</v>
      </c>
      <c r="L30" s="1" t="s">
        <v>190</v>
      </c>
      <c r="M30" s="1">
        <v>7228.0</v>
      </c>
      <c r="N30" s="1" t="s">
        <v>192</v>
      </c>
      <c r="O30" s="1" t="s">
        <v>30</v>
      </c>
      <c r="P30" s="1" t="s">
        <v>54</v>
      </c>
      <c r="Q30" s="1">
        <v>1.0</v>
      </c>
      <c r="R30" s="1">
        <v>5.89065053093E11</v>
      </c>
      <c r="T30" s="1">
        <v>151000.0</v>
      </c>
      <c r="U30" s="1">
        <v>0.0</v>
      </c>
      <c r="V30" s="1">
        <v>0.0</v>
      </c>
      <c r="W30" s="1">
        <v>151000.0</v>
      </c>
    </row>
    <row r="31" ht="17.25" customHeight="1">
      <c r="A31" s="1" t="s">
        <v>23</v>
      </c>
      <c r="B31" s="2">
        <v>45804.90414351852</v>
      </c>
      <c r="C31" s="2">
        <v>45804.90414351852</v>
      </c>
      <c r="D31" s="2">
        <v>45805.68984953704</v>
      </c>
      <c r="F31" s="1" t="s">
        <v>193</v>
      </c>
      <c r="G31" s="1" t="s">
        <v>194</v>
      </c>
      <c r="H31" s="1" t="s">
        <v>195</v>
      </c>
      <c r="I31" s="1" t="s">
        <v>196</v>
      </c>
      <c r="J31" s="1" t="s">
        <v>195</v>
      </c>
      <c r="K31" s="1" t="s">
        <v>197</v>
      </c>
      <c r="L31" s="1" t="s">
        <v>196</v>
      </c>
      <c r="M31" s="1">
        <v>42811.0</v>
      </c>
      <c r="N31" s="1" t="s">
        <v>198</v>
      </c>
      <c r="O31" s="1" t="s">
        <v>30</v>
      </c>
      <c r="P31" s="1" t="s">
        <v>31</v>
      </c>
      <c r="Q31" s="1">
        <v>1.0</v>
      </c>
      <c r="R31" s="1">
        <v>5.89065032524E11</v>
      </c>
      <c r="T31" s="1">
        <v>175000.0</v>
      </c>
      <c r="U31" s="1">
        <v>0.0</v>
      </c>
      <c r="V31" s="1">
        <v>0.0</v>
      </c>
      <c r="W31" s="1">
        <v>173500.0</v>
      </c>
    </row>
    <row r="32" ht="17.25" customHeight="1">
      <c r="A32" s="1" t="s">
        <v>23</v>
      </c>
      <c r="B32" s="2">
        <v>45804.94658564815</v>
      </c>
      <c r="C32" s="2">
        <v>45804.94658564815</v>
      </c>
      <c r="D32" s="2">
        <v>45805.689930555556</v>
      </c>
      <c r="F32" s="1" t="s">
        <v>199</v>
      </c>
      <c r="G32" s="1" t="s">
        <v>200</v>
      </c>
      <c r="H32" s="1" t="s">
        <v>201</v>
      </c>
      <c r="I32" s="1" t="s">
        <v>202</v>
      </c>
      <c r="J32" s="1" t="s">
        <v>201</v>
      </c>
      <c r="K32" s="1" t="s">
        <v>202</v>
      </c>
      <c r="L32" s="1" t="s">
        <v>202</v>
      </c>
      <c r="M32" s="1">
        <v>42653.0</v>
      </c>
      <c r="N32" s="1" t="s">
        <v>203</v>
      </c>
      <c r="O32" s="1" t="s">
        <v>30</v>
      </c>
      <c r="P32" s="1" t="s">
        <v>31</v>
      </c>
      <c r="Q32" s="1">
        <v>1.0</v>
      </c>
      <c r="R32" s="1">
        <v>5.89065032583E11</v>
      </c>
      <c r="T32" s="1">
        <v>175000.0</v>
      </c>
      <c r="U32" s="1">
        <v>0.0</v>
      </c>
      <c r="V32" s="1">
        <v>0.0</v>
      </c>
      <c r="W32" s="1">
        <v>175000.0</v>
      </c>
    </row>
    <row r="33" ht="17.25" customHeight="1">
      <c r="A33" s="1" t="s">
        <v>23</v>
      </c>
      <c r="B33" s="2">
        <v>45804.963784722226</v>
      </c>
      <c r="C33" s="2">
        <v>45804.963784722226</v>
      </c>
      <c r="D33" s="2">
        <v>45805.68996527778</v>
      </c>
      <c r="F33" s="1" t="s">
        <v>204</v>
      </c>
      <c r="G33" s="1" t="s">
        <v>205</v>
      </c>
      <c r="H33" s="1" t="s">
        <v>206</v>
      </c>
      <c r="I33" s="1" t="s">
        <v>207</v>
      </c>
      <c r="J33" s="1" t="s">
        <v>206</v>
      </c>
      <c r="K33" s="1" t="s">
        <v>207</v>
      </c>
      <c r="L33" s="1" t="s">
        <v>207</v>
      </c>
      <c r="M33" s="1">
        <v>50607.0</v>
      </c>
      <c r="N33" s="1" t="s">
        <v>208</v>
      </c>
      <c r="O33" s="1" t="s">
        <v>30</v>
      </c>
      <c r="P33" s="1" t="s">
        <v>31</v>
      </c>
      <c r="Q33" s="1">
        <v>1.0</v>
      </c>
      <c r="R33" s="1">
        <v>5.89065032406E11</v>
      </c>
      <c r="T33" s="1">
        <v>175000.0</v>
      </c>
      <c r="U33" s="1">
        <v>0.0</v>
      </c>
      <c r="V33" s="1">
        <v>0.0</v>
      </c>
      <c r="W33" s="1">
        <v>175000.0</v>
      </c>
    </row>
    <row r="34" ht="17.25" customHeight="1">
      <c r="A34" s="1" t="s">
        <v>23</v>
      </c>
      <c r="B34" s="2">
        <v>45805.11798611111</v>
      </c>
      <c r="C34" s="2">
        <v>45805.11798611111</v>
      </c>
      <c r="D34" s="2">
        <v>45805.69005787037</v>
      </c>
      <c r="F34" s="1" t="s">
        <v>209</v>
      </c>
      <c r="G34" s="1" t="s">
        <v>210</v>
      </c>
      <c r="H34" s="1" t="s">
        <v>211</v>
      </c>
      <c r="I34" s="1" t="s">
        <v>212</v>
      </c>
      <c r="J34" s="1" t="s">
        <v>211</v>
      </c>
      <c r="K34" s="1" t="s">
        <v>213</v>
      </c>
      <c r="L34" s="1" t="s">
        <v>212</v>
      </c>
      <c r="M34" s="1">
        <v>17084.0</v>
      </c>
      <c r="N34" s="1" t="s">
        <v>214</v>
      </c>
      <c r="O34" s="1" t="s">
        <v>30</v>
      </c>
      <c r="P34" s="1" t="s">
        <v>31</v>
      </c>
      <c r="Q34" s="1">
        <v>1.0</v>
      </c>
      <c r="R34" s="1">
        <v>5.89065032513E11</v>
      </c>
      <c r="T34" s="1">
        <v>175000.0</v>
      </c>
      <c r="U34" s="1">
        <v>0.0</v>
      </c>
      <c r="V34" s="1">
        <v>0.0</v>
      </c>
      <c r="W34" s="1">
        <v>175000.0</v>
      </c>
    </row>
    <row r="35" ht="17.25" customHeight="1">
      <c r="A35" s="1" t="s">
        <v>23</v>
      </c>
      <c r="B35" s="2">
        <v>45805.33939814815</v>
      </c>
      <c r="C35" s="2">
        <v>45805.33939814815</v>
      </c>
      <c r="D35" s="2">
        <v>45805.69012731482</v>
      </c>
      <c r="F35" s="1" t="s">
        <v>215</v>
      </c>
      <c r="G35" s="1" t="s">
        <v>216</v>
      </c>
      <c r="H35" s="1" t="s">
        <v>217</v>
      </c>
      <c r="I35" s="1" t="s">
        <v>218</v>
      </c>
      <c r="J35" s="1" t="s">
        <v>217</v>
      </c>
      <c r="K35" s="1" t="s">
        <v>218</v>
      </c>
      <c r="L35" s="1" t="s">
        <v>218</v>
      </c>
      <c r="M35" s="1">
        <v>5312.0</v>
      </c>
      <c r="N35" s="1" t="s">
        <v>219</v>
      </c>
      <c r="O35" s="1" t="s">
        <v>30</v>
      </c>
      <c r="P35" s="1" t="s">
        <v>31</v>
      </c>
      <c r="Q35" s="1">
        <v>1.0</v>
      </c>
      <c r="R35" s="1">
        <v>5.890650287E11</v>
      </c>
      <c r="T35" s="1">
        <v>356000.0</v>
      </c>
      <c r="U35" s="1">
        <v>0.0</v>
      </c>
      <c r="V35" s="1">
        <v>0.0</v>
      </c>
      <c r="W35" s="1">
        <v>355400.0</v>
      </c>
    </row>
    <row r="36" ht="17.25" customHeight="1">
      <c r="A36" s="1" t="s">
        <v>23</v>
      </c>
      <c r="B36" s="2">
        <v>45805.3728125</v>
      </c>
      <c r="C36" s="2">
        <v>45805.3728125</v>
      </c>
      <c r="D36" s="2">
        <v>45805.69018518519</v>
      </c>
      <c r="F36" s="1" t="s">
        <v>220</v>
      </c>
      <c r="G36" s="1" t="s">
        <v>221</v>
      </c>
      <c r="H36" s="1" t="s">
        <v>222</v>
      </c>
      <c r="I36" s="1" t="s">
        <v>223</v>
      </c>
      <c r="J36" s="1" t="s">
        <v>222</v>
      </c>
      <c r="K36" s="1" t="s">
        <v>223</v>
      </c>
      <c r="L36" s="1" t="s">
        <v>223</v>
      </c>
      <c r="M36" s="1">
        <v>16916.0</v>
      </c>
      <c r="N36" s="1" t="s">
        <v>224</v>
      </c>
      <c r="O36" s="1" t="s">
        <v>30</v>
      </c>
      <c r="P36" s="1" t="s">
        <v>31</v>
      </c>
      <c r="Q36" s="1">
        <v>1.0</v>
      </c>
      <c r="R36" s="1">
        <v>5.89065032594E11</v>
      </c>
      <c r="T36" s="1">
        <v>175000.0</v>
      </c>
      <c r="U36" s="1">
        <v>0.0</v>
      </c>
      <c r="V36" s="1">
        <v>0.0</v>
      </c>
      <c r="W36" s="1">
        <v>175000.0</v>
      </c>
    </row>
    <row r="37" ht="17.25" customHeight="1">
      <c r="A37" s="1" t="s">
        <v>130</v>
      </c>
      <c r="B37" s="2">
        <v>45805.44652777778</v>
      </c>
      <c r="C37" s="2">
        <v>45805.44652777778</v>
      </c>
      <c r="D37" s="2">
        <v>45807.38825231481</v>
      </c>
      <c r="F37" s="1" t="s">
        <v>225</v>
      </c>
      <c r="G37" s="1" t="s">
        <v>226</v>
      </c>
      <c r="H37" s="1" t="s">
        <v>227</v>
      </c>
      <c r="I37" s="1" t="s">
        <v>228</v>
      </c>
      <c r="J37" s="1" t="s">
        <v>227</v>
      </c>
      <c r="K37" s="1" t="s">
        <v>228</v>
      </c>
      <c r="L37" s="1" t="s">
        <v>228</v>
      </c>
      <c r="M37" s="1">
        <v>63124.0</v>
      </c>
      <c r="N37" s="1" t="s">
        <v>229</v>
      </c>
      <c r="O37" s="1" t="s">
        <v>30</v>
      </c>
      <c r="P37" s="1" t="s">
        <v>31</v>
      </c>
      <c r="Q37" s="1">
        <v>1.0</v>
      </c>
      <c r="R37" s="1">
        <v>5.89065051634E11</v>
      </c>
      <c r="T37" s="1">
        <v>310000.0</v>
      </c>
      <c r="U37" s="1">
        <v>0.0</v>
      </c>
      <c r="V37" s="1">
        <v>3000.0</v>
      </c>
      <c r="W37" s="1">
        <v>313000.0</v>
      </c>
    </row>
    <row r="38" ht="17.25" customHeight="1">
      <c r="A38" s="1" t="s">
        <v>130</v>
      </c>
      <c r="B38" s="2">
        <v>45805.502280092594</v>
      </c>
      <c r="C38" s="2">
        <v>45805.50734953704</v>
      </c>
      <c r="D38" s="2">
        <v>45807.388287037036</v>
      </c>
      <c r="F38" s="1" t="s">
        <v>230</v>
      </c>
      <c r="G38" s="1" t="s">
        <v>231</v>
      </c>
      <c r="H38" s="1" t="s">
        <v>232</v>
      </c>
      <c r="I38" s="1" t="s">
        <v>233</v>
      </c>
      <c r="J38" s="1" t="s">
        <v>232</v>
      </c>
      <c r="K38" s="1" t="s">
        <v>233</v>
      </c>
      <c r="L38" s="1" t="s">
        <v>233</v>
      </c>
      <c r="M38" s="1">
        <v>17332.0</v>
      </c>
      <c r="N38" s="1" t="s">
        <v>234</v>
      </c>
      <c r="O38" s="1" t="s">
        <v>30</v>
      </c>
      <c r="P38" s="1" t="s">
        <v>31</v>
      </c>
      <c r="Q38" s="1">
        <v>1.0</v>
      </c>
      <c r="R38" s="1">
        <v>5.89065052216E11</v>
      </c>
      <c r="T38" s="1">
        <v>356000.0</v>
      </c>
      <c r="U38" s="1">
        <v>0.0</v>
      </c>
      <c r="V38" s="1">
        <v>0.0</v>
      </c>
      <c r="W38" s="1">
        <v>355700.0</v>
      </c>
    </row>
    <row r="39" ht="17.25" customHeight="1">
      <c r="A39" s="1" t="s">
        <v>130</v>
      </c>
      <c r="B39" s="2">
        <v>45805.60136574074</v>
      </c>
      <c r="C39" s="2">
        <v>45805.60136574074</v>
      </c>
      <c r="D39" s="2">
        <v>45807.388344907406</v>
      </c>
      <c r="F39" s="1" t="s">
        <v>235</v>
      </c>
      <c r="G39" s="1" t="s">
        <v>236</v>
      </c>
      <c r="H39" s="1" t="s">
        <v>237</v>
      </c>
      <c r="I39" s="1" t="s">
        <v>238</v>
      </c>
      <c r="J39" s="1" t="s">
        <v>237</v>
      </c>
      <c r="K39" s="1" t="s">
        <v>238</v>
      </c>
      <c r="L39" s="1" t="s">
        <v>238</v>
      </c>
      <c r="M39" s="1">
        <v>4637.0</v>
      </c>
      <c r="N39" s="1" t="s">
        <v>239</v>
      </c>
      <c r="O39" s="1" t="s">
        <v>30</v>
      </c>
      <c r="P39" s="1" t="s">
        <v>31</v>
      </c>
      <c r="Q39" s="1">
        <v>1.0</v>
      </c>
      <c r="R39" s="1">
        <v>5.89065052404E11</v>
      </c>
      <c r="T39" s="1">
        <v>310000.0</v>
      </c>
      <c r="U39" s="1">
        <v>0.0</v>
      </c>
      <c r="V39" s="1">
        <v>0.0</v>
      </c>
      <c r="W39" s="1">
        <v>310000.0</v>
      </c>
    </row>
    <row r="40" ht="17.25" customHeight="1">
      <c r="A40" s="1" t="s">
        <v>130</v>
      </c>
      <c r="B40" s="2">
        <v>45805.736238425925</v>
      </c>
      <c r="C40" s="2">
        <v>45805.736238425925</v>
      </c>
      <c r="D40" s="2">
        <v>45807.388391203705</v>
      </c>
      <c r="F40" s="1" t="s">
        <v>240</v>
      </c>
      <c r="G40" s="1" t="s">
        <v>241</v>
      </c>
      <c r="H40" s="1" t="s">
        <v>242</v>
      </c>
      <c r="I40" s="1" t="s">
        <v>243</v>
      </c>
      <c r="J40" s="1" t="s">
        <v>242</v>
      </c>
      <c r="K40" s="1" t="s">
        <v>244</v>
      </c>
      <c r="L40" s="1" t="s">
        <v>243</v>
      </c>
      <c r="M40" s="1">
        <v>46296.0</v>
      </c>
      <c r="N40" s="1" t="s">
        <v>245</v>
      </c>
      <c r="O40" s="1" t="s">
        <v>30</v>
      </c>
      <c r="P40" s="1" t="s">
        <v>31</v>
      </c>
      <c r="Q40" s="1">
        <v>1.0</v>
      </c>
      <c r="R40" s="1">
        <v>5.8906505166E11</v>
      </c>
      <c r="T40" s="1">
        <v>175000.0</v>
      </c>
      <c r="U40" s="1">
        <v>0.0</v>
      </c>
      <c r="V40" s="1">
        <v>0.0</v>
      </c>
      <c r="W40" s="1">
        <v>174400.0</v>
      </c>
    </row>
    <row r="41" ht="17.25" customHeight="1">
      <c r="A41" s="1" t="s">
        <v>130</v>
      </c>
      <c r="B41" s="2">
        <v>45805.793333333335</v>
      </c>
      <c r="C41" s="2">
        <v>45805.793333333335</v>
      </c>
      <c r="D41" s="2">
        <v>45807.38841435185</v>
      </c>
      <c r="F41" s="1" t="s">
        <v>246</v>
      </c>
      <c r="G41" s="1" t="s">
        <v>247</v>
      </c>
      <c r="H41" s="1" t="s">
        <v>248</v>
      </c>
      <c r="I41" s="1" t="s">
        <v>249</v>
      </c>
      <c r="J41" s="1" t="s">
        <v>248</v>
      </c>
      <c r="K41" s="1" t="s">
        <v>197</v>
      </c>
      <c r="L41" s="1" t="s">
        <v>249</v>
      </c>
      <c r="M41" s="1">
        <v>48454.0</v>
      </c>
      <c r="N41" s="1" t="s">
        <v>250</v>
      </c>
      <c r="O41" s="1" t="s">
        <v>30</v>
      </c>
      <c r="P41" s="1" t="s">
        <v>31</v>
      </c>
      <c r="Q41" s="1">
        <v>1.0</v>
      </c>
      <c r="R41" s="1">
        <v>5.89065051656E11</v>
      </c>
      <c r="T41" s="1">
        <v>175000.0</v>
      </c>
      <c r="U41" s="1">
        <v>0.0</v>
      </c>
      <c r="V41" s="1">
        <v>0.0</v>
      </c>
      <c r="W41" s="1">
        <v>175000.0</v>
      </c>
    </row>
    <row r="42" ht="17.25" customHeight="1">
      <c r="A42" s="1" t="s">
        <v>130</v>
      </c>
      <c r="B42" s="2">
        <v>45805.80646990741</v>
      </c>
      <c r="C42" s="2">
        <v>45805.80646990741</v>
      </c>
      <c r="D42" s="2">
        <v>45807.38842592593</v>
      </c>
      <c r="F42" s="1" t="s">
        <v>251</v>
      </c>
      <c r="G42" s="1" t="s">
        <v>252</v>
      </c>
      <c r="H42" s="1" t="s">
        <v>253</v>
      </c>
      <c r="I42" s="1" t="s">
        <v>254</v>
      </c>
      <c r="J42" s="1" t="s">
        <v>253</v>
      </c>
      <c r="K42" s="1" t="s">
        <v>254</v>
      </c>
      <c r="L42" s="1" t="s">
        <v>254</v>
      </c>
      <c r="M42" s="1">
        <v>21117.0</v>
      </c>
      <c r="N42" s="1" t="s">
        <v>255</v>
      </c>
      <c r="O42" s="1" t="s">
        <v>30</v>
      </c>
      <c r="P42" s="1" t="s">
        <v>31</v>
      </c>
      <c r="Q42" s="1">
        <v>1.0</v>
      </c>
      <c r="R42" s="1">
        <v>5.89065051682E11</v>
      </c>
      <c r="T42" s="1">
        <v>175000.0</v>
      </c>
      <c r="U42" s="1">
        <v>0.0</v>
      </c>
      <c r="V42" s="1">
        <v>0.0</v>
      </c>
      <c r="W42" s="1">
        <v>175000.0</v>
      </c>
    </row>
    <row r="43" ht="17.25" customHeight="1">
      <c r="A43" s="1" t="s">
        <v>130</v>
      </c>
      <c r="B43" s="2">
        <v>45806.32549768518</v>
      </c>
      <c r="C43" s="2">
        <v>45806.32549768518</v>
      </c>
      <c r="D43" s="2">
        <v>45807.38858796296</v>
      </c>
      <c r="F43" s="1" t="s">
        <v>256</v>
      </c>
      <c r="G43" s="1" t="s">
        <v>257</v>
      </c>
      <c r="H43" s="1" t="s">
        <v>258</v>
      </c>
      <c r="I43" s="1" t="s">
        <v>259</v>
      </c>
      <c r="J43" s="1" t="s">
        <v>258</v>
      </c>
      <c r="K43" s="1" t="s">
        <v>259</v>
      </c>
      <c r="L43" s="1" t="s">
        <v>259</v>
      </c>
      <c r="M43" s="1">
        <v>39902.0</v>
      </c>
      <c r="N43" s="1" t="s">
        <v>260</v>
      </c>
      <c r="O43" s="1" t="s">
        <v>30</v>
      </c>
      <c r="P43" s="1" t="s">
        <v>31</v>
      </c>
      <c r="Q43" s="1">
        <v>1.0</v>
      </c>
      <c r="R43" s="1">
        <v>5.89065051671E11</v>
      </c>
      <c r="T43" s="1">
        <v>175000.0</v>
      </c>
      <c r="U43" s="1">
        <v>0.0</v>
      </c>
      <c r="V43" s="1">
        <v>0.0</v>
      </c>
      <c r="W43" s="1">
        <v>175000.0</v>
      </c>
    </row>
    <row r="44" ht="17.25" customHeight="1">
      <c r="A44" s="1" t="s">
        <v>130</v>
      </c>
      <c r="B44" s="2">
        <v>45806.45489583333</v>
      </c>
      <c r="C44" s="2">
        <v>45806.45489583333</v>
      </c>
      <c r="D44" s="2">
        <v>45807.70070601852</v>
      </c>
      <c r="F44" s="1" t="s">
        <v>261</v>
      </c>
      <c r="G44" s="1" t="s">
        <v>262</v>
      </c>
      <c r="H44" s="1" t="s">
        <v>263</v>
      </c>
      <c r="I44" s="1" t="s">
        <v>264</v>
      </c>
      <c r="J44" s="1" t="s">
        <v>263</v>
      </c>
      <c r="K44" s="1" t="s">
        <v>264</v>
      </c>
      <c r="L44" s="1" t="s">
        <v>264</v>
      </c>
      <c r="M44" s="1">
        <v>34083.0</v>
      </c>
      <c r="N44" s="1" t="s">
        <v>265</v>
      </c>
      <c r="O44" s="1" t="s">
        <v>30</v>
      </c>
      <c r="P44" s="1" t="s">
        <v>31</v>
      </c>
      <c r="Q44" s="1">
        <v>1.0</v>
      </c>
      <c r="R44" s="1">
        <v>5.89065074524E11</v>
      </c>
      <c r="T44" s="1">
        <v>175000.0</v>
      </c>
      <c r="U44" s="1">
        <v>0.0</v>
      </c>
      <c r="V44" s="1">
        <v>0.0</v>
      </c>
      <c r="W44" s="1">
        <v>175000.0</v>
      </c>
    </row>
    <row r="45" ht="17.25" customHeight="1">
      <c r="A45" s="1" t="s">
        <v>130</v>
      </c>
      <c r="B45" s="2">
        <v>45806.799895833334</v>
      </c>
      <c r="C45" s="2">
        <v>45806.799895833334</v>
      </c>
      <c r="D45" s="2">
        <v>45807.6980787037</v>
      </c>
      <c r="F45" s="1" t="s">
        <v>266</v>
      </c>
      <c r="G45" s="1" t="s">
        <v>267</v>
      </c>
      <c r="H45" s="1" t="s">
        <v>268</v>
      </c>
      <c r="I45" s="1" t="s">
        <v>269</v>
      </c>
      <c r="J45" s="1" t="s">
        <v>270</v>
      </c>
      <c r="K45" s="1" t="s">
        <v>269</v>
      </c>
      <c r="L45" s="1" t="s">
        <v>269</v>
      </c>
      <c r="M45" s="1">
        <v>4393.0</v>
      </c>
      <c r="N45" s="1" t="s">
        <v>271</v>
      </c>
      <c r="O45" s="1" t="s">
        <v>30</v>
      </c>
      <c r="P45" s="1" t="s">
        <v>31</v>
      </c>
      <c r="Q45" s="1">
        <v>1.0</v>
      </c>
      <c r="R45" s="1">
        <v>5.89065074071E11</v>
      </c>
      <c r="T45" s="1">
        <v>350000.0</v>
      </c>
      <c r="U45" s="1">
        <v>0.0</v>
      </c>
      <c r="V45" s="1">
        <v>0.0</v>
      </c>
      <c r="W45" s="1">
        <v>350000.0</v>
      </c>
    </row>
    <row r="46" ht="17.25" customHeight="1">
      <c r="A46" s="1" t="s">
        <v>130</v>
      </c>
      <c r="B46" s="2">
        <v>45806.93493055556</v>
      </c>
      <c r="C46" s="2">
        <v>45806.93493055556</v>
      </c>
      <c r="D46" s="2">
        <v>45807.70082175926</v>
      </c>
      <c r="F46" s="1" t="s">
        <v>272</v>
      </c>
      <c r="G46" s="1" t="s">
        <v>273</v>
      </c>
      <c r="H46" s="1" t="s">
        <v>274</v>
      </c>
      <c r="I46" s="1" t="s">
        <v>275</v>
      </c>
      <c r="J46" s="1" t="s">
        <v>274</v>
      </c>
      <c r="K46" s="1" t="s">
        <v>275</v>
      </c>
      <c r="L46" s="1" t="s">
        <v>275</v>
      </c>
      <c r="M46" s="1">
        <v>28638.0</v>
      </c>
      <c r="N46" s="1" t="s">
        <v>276</v>
      </c>
      <c r="O46" s="1" t="s">
        <v>30</v>
      </c>
      <c r="P46" s="1" t="s">
        <v>31</v>
      </c>
      <c r="Q46" s="1">
        <v>1.0</v>
      </c>
      <c r="R46" s="1">
        <v>5.89065074513E11</v>
      </c>
      <c r="T46" s="1">
        <v>175000.0</v>
      </c>
      <c r="U46" s="1">
        <v>0.0</v>
      </c>
      <c r="V46" s="1">
        <v>0.0</v>
      </c>
      <c r="W46" s="1">
        <v>175000.0</v>
      </c>
    </row>
    <row r="47" ht="17.25" customHeight="1">
      <c r="A47" s="1" t="s">
        <v>94</v>
      </c>
      <c r="B47" s="2">
        <v>45808.915717592594</v>
      </c>
      <c r="C47" s="2">
        <v>45808.915717592594</v>
      </c>
      <c r="E47" s="2">
        <v>45810.41719907407</v>
      </c>
      <c r="F47" s="1" t="s">
        <v>277</v>
      </c>
      <c r="G47" s="1" t="s">
        <v>278</v>
      </c>
      <c r="H47" s="1" t="s">
        <v>279</v>
      </c>
      <c r="I47" s="1" t="s">
        <v>280</v>
      </c>
      <c r="J47" s="1" t="s">
        <v>279</v>
      </c>
      <c r="K47" s="1" t="s">
        <v>280</v>
      </c>
      <c r="L47" s="1" t="s">
        <v>280</v>
      </c>
      <c r="M47" s="1">
        <v>14306.0</v>
      </c>
      <c r="N47" s="1" t="s">
        <v>281</v>
      </c>
      <c r="O47" s="1" t="s">
        <v>30</v>
      </c>
      <c r="P47" s="1" t="s">
        <v>31</v>
      </c>
      <c r="Q47" s="1">
        <v>1.0</v>
      </c>
      <c r="T47" s="1">
        <v>175000.0</v>
      </c>
      <c r="U47" s="1">
        <v>0.0</v>
      </c>
      <c r="V47" s="1">
        <v>0.0</v>
      </c>
      <c r="W47" s="1">
        <v>0.0</v>
      </c>
    </row>
    <row r="48" ht="17.25" customHeight="1">
      <c r="A48" s="1" t="s">
        <v>130</v>
      </c>
      <c r="B48" s="2">
        <v>45809.12658564815</v>
      </c>
      <c r="C48" s="2">
        <v>45809.12658564815</v>
      </c>
      <c r="D48" s="2">
        <v>45810.72258101852</v>
      </c>
      <c r="F48" s="1" t="s">
        <v>282</v>
      </c>
      <c r="G48" s="1" t="s">
        <v>283</v>
      </c>
      <c r="H48" s="1" t="s">
        <v>284</v>
      </c>
      <c r="I48" s="1" t="s">
        <v>285</v>
      </c>
      <c r="J48" s="1" t="s">
        <v>284</v>
      </c>
      <c r="K48" s="1" t="s">
        <v>285</v>
      </c>
      <c r="L48" s="1" t="s">
        <v>285</v>
      </c>
      <c r="M48" s="1">
        <v>4717.0</v>
      </c>
      <c r="N48" s="1" t="s">
        <v>286</v>
      </c>
      <c r="O48" s="1" t="s">
        <v>30</v>
      </c>
      <c r="P48" s="1" t="s">
        <v>31</v>
      </c>
      <c r="Q48" s="1">
        <v>1.0</v>
      </c>
      <c r="R48" s="1">
        <v>5.89065120864E11</v>
      </c>
      <c r="T48" s="1">
        <v>175000.0</v>
      </c>
      <c r="U48" s="1">
        <v>0.0</v>
      </c>
      <c r="V48" s="1">
        <v>0.0</v>
      </c>
      <c r="W48" s="1">
        <v>171900.0</v>
      </c>
    </row>
    <row r="49" ht="17.25" customHeight="1">
      <c r="A49" s="1" t="s">
        <v>130</v>
      </c>
      <c r="B49" s="2">
        <v>45809.34326388889</v>
      </c>
      <c r="C49" s="2">
        <v>45809.34326388889</v>
      </c>
      <c r="D49" s="2">
        <v>45810.722604166665</v>
      </c>
      <c r="F49" s="1" t="s">
        <v>287</v>
      </c>
      <c r="G49" s="1" t="s">
        <v>288</v>
      </c>
      <c r="H49" s="1" t="s">
        <v>289</v>
      </c>
      <c r="I49" s="1" t="s">
        <v>290</v>
      </c>
      <c r="J49" s="1" t="s">
        <v>289</v>
      </c>
      <c r="K49" s="1" t="s">
        <v>290</v>
      </c>
      <c r="L49" s="1" t="s">
        <v>290</v>
      </c>
      <c r="M49" s="1">
        <v>10099.0</v>
      </c>
      <c r="N49" s="1" t="s">
        <v>291</v>
      </c>
      <c r="O49" s="1" t="s">
        <v>30</v>
      </c>
      <c r="P49" s="1" t="s">
        <v>31</v>
      </c>
      <c r="Q49" s="1">
        <v>1.0</v>
      </c>
      <c r="R49" s="1">
        <v>5.89065120875E11</v>
      </c>
      <c r="T49" s="1">
        <v>356000.0</v>
      </c>
      <c r="U49" s="1">
        <v>0.0</v>
      </c>
      <c r="V49" s="1">
        <v>0.0</v>
      </c>
      <c r="W49" s="1">
        <v>356000.0</v>
      </c>
    </row>
    <row r="50" ht="17.25" customHeight="1">
      <c r="A50" s="1" t="s">
        <v>130</v>
      </c>
      <c r="B50" s="2">
        <v>45809.91782407407</v>
      </c>
      <c r="C50" s="2">
        <v>45809.91782407407</v>
      </c>
      <c r="D50" s="2">
        <v>45810.722719907404</v>
      </c>
      <c r="F50" s="1" t="s">
        <v>292</v>
      </c>
      <c r="G50" s="1" t="s">
        <v>293</v>
      </c>
      <c r="H50" s="1" t="s">
        <v>294</v>
      </c>
      <c r="I50" s="1" t="s">
        <v>295</v>
      </c>
      <c r="J50" s="1" t="s">
        <v>294</v>
      </c>
      <c r="K50" s="1" t="s">
        <v>296</v>
      </c>
      <c r="L50" s="1" t="s">
        <v>295</v>
      </c>
      <c r="M50" s="1">
        <v>7221.0</v>
      </c>
      <c r="N50" s="1" t="s">
        <v>297</v>
      </c>
      <c r="O50" s="1" t="s">
        <v>30</v>
      </c>
      <c r="P50" s="1" t="s">
        <v>31</v>
      </c>
      <c r="Q50" s="1">
        <v>1.0</v>
      </c>
      <c r="R50" s="1">
        <v>5.89065120853E11</v>
      </c>
      <c r="T50" s="1">
        <v>175000.0</v>
      </c>
      <c r="U50" s="1">
        <v>0.0</v>
      </c>
      <c r="V50" s="1">
        <v>0.0</v>
      </c>
      <c r="W50" s="1">
        <v>175000.0</v>
      </c>
    </row>
    <row r="51" ht="17.25" customHeight="1">
      <c r="A51" s="1" t="s">
        <v>130</v>
      </c>
      <c r="B51" s="2">
        <v>45810.41940972222</v>
      </c>
      <c r="C51" s="2">
        <v>45810.41940972222</v>
      </c>
      <c r="D51" s="2">
        <v>45810.71730324074</v>
      </c>
      <c r="F51" s="1" t="s">
        <v>298</v>
      </c>
      <c r="G51" s="1" t="s">
        <v>299</v>
      </c>
      <c r="H51" s="1" t="s">
        <v>300</v>
      </c>
      <c r="I51" s="1" t="s">
        <v>301</v>
      </c>
      <c r="J51" s="1" t="s">
        <v>300</v>
      </c>
      <c r="K51" s="1" t="s">
        <v>197</v>
      </c>
      <c r="L51" s="1" t="s">
        <v>301</v>
      </c>
      <c r="M51" s="1">
        <v>21074.0</v>
      </c>
      <c r="N51" s="1" t="s">
        <v>302</v>
      </c>
      <c r="O51" s="1" t="s">
        <v>30</v>
      </c>
      <c r="P51" s="1" t="s">
        <v>54</v>
      </c>
      <c r="Q51" s="1">
        <v>1.0</v>
      </c>
      <c r="R51" s="1">
        <v>5.89065121645E11</v>
      </c>
      <c r="T51" s="1">
        <v>385900.0</v>
      </c>
      <c r="U51" s="1">
        <v>0.0</v>
      </c>
      <c r="V51" s="1">
        <v>0.0</v>
      </c>
      <c r="W51" s="1">
        <v>385900.0</v>
      </c>
    </row>
    <row r="52" ht="17.25" customHeight="1">
      <c r="A52" s="1" t="s">
        <v>303</v>
      </c>
      <c r="B52" s="2">
        <v>45811.873611111114</v>
      </c>
      <c r="C52" s="2">
        <v>45811.873611111114</v>
      </c>
      <c r="F52" s="1" t="s">
        <v>304</v>
      </c>
      <c r="G52" s="1" t="s">
        <v>305</v>
      </c>
      <c r="H52" s="1" t="s">
        <v>306</v>
      </c>
      <c r="I52" s="1" t="s">
        <v>307</v>
      </c>
      <c r="J52" s="1" t="s">
        <v>306</v>
      </c>
      <c r="K52" s="1" t="s">
        <v>307</v>
      </c>
      <c r="L52" s="1" t="s">
        <v>307</v>
      </c>
      <c r="M52" s="1">
        <v>15217.0</v>
      </c>
      <c r="N52" s="1" t="s">
        <v>308</v>
      </c>
      <c r="O52" s="1" t="s">
        <v>30</v>
      </c>
      <c r="P52" s="1" t="s">
        <v>31</v>
      </c>
      <c r="Q52" s="1">
        <v>1.0</v>
      </c>
      <c r="T52" s="1">
        <v>350000.0</v>
      </c>
      <c r="U52" s="1">
        <v>0.0</v>
      </c>
      <c r="V52" s="1">
        <v>0.0</v>
      </c>
      <c r="W52" s="1">
        <v>350000.0</v>
      </c>
    </row>
    <row r="53" ht="17.25" customHeight="1">
      <c r="A53" s="1" t="s">
        <v>303</v>
      </c>
      <c r="B53" s="2">
        <v>45811.921435185184</v>
      </c>
      <c r="C53" s="2">
        <v>45811.921435185184</v>
      </c>
      <c r="F53" s="1" t="s">
        <v>309</v>
      </c>
      <c r="G53" s="1" t="s">
        <v>310</v>
      </c>
      <c r="H53" s="1" t="s">
        <v>311</v>
      </c>
      <c r="I53" s="1" t="s">
        <v>312</v>
      </c>
      <c r="J53" s="1" t="s">
        <v>311</v>
      </c>
      <c r="K53" s="1" t="s">
        <v>312</v>
      </c>
      <c r="L53" s="1" t="s">
        <v>312</v>
      </c>
      <c r="M53" s="1">
        <v>10546.0</v>
      </c>
      <c r="N53" s="1" t="s">
        <v>313</v>
      </c>
      <c r="O53" s="1" t="s">
        <v>30</v>
      </c>
      <c r="P53" s="1" t="s">
        <v>314</v>
      </c>
      <c r="Q53" s="1">
        <v>1.0</v>
      </c>
      <c r="T53" s="1">
        <v>111000.0</v>
      </c>
      <c r="U53" s="1">
        <v>0.0</v>
      </c>
      <c r="V53" s="1">
        <v>0.0</v>
      </c>
      <c r="W53" s="1">
        <v>111000.0</v>
      </c>
    </row>
    <row r="54" ht="17.25" customHeight="1">
      <c r="A54" s="1" t="s">
        <v>303</v>
      </c>
      <c r="B54" s="2">
        <v>45812.33224537037</v>
      </c>
      <c r="C54" s="2">
        <v>45812.33224537037</v>
      </c>
      <c r="F54" s="1" t="s">
        <v>315</v>
      </c>
      <c r="G54" s="1" t="s">
        <v>316</v>
      </c>
      <c r="H54" s="1" t="s">
        <v>317</v>
      </c>
      <c r="I54" s="1" t="s">
        <v>318</v>
      </c>
      <c r="J54" s="1" t="s">
        <v>317</v>
      </c>
      <c r="K54" s="1" t="s">
        <v>318</v>
      </c>
      <c r="L54" s="1" t="s">
        <v>318</v>
      </c>
      <c r="M54" s="1">
        <v>6115.0</v>
      </c>
      <c r="N54" s="1" t="s">
        <v>319</v>
      </c>
      <c r="O54" s="1" t="s">
        <v>30</v>
      </c>
      <c r="P54" s="1" t="s">
        <v>31</v>
      </c>
      <c r="Q54" s="1">
        <v>1.0</v>
      </c>
      <c r="T54" s="1">
        <v>175000.0</v>
      </c>
      <c r="U54" s="1">
        <v>0.0</v>
      </c>
      <c r="V54" s="1">
        <v>0.0</v>
      </c>
      <c r="W54" s="1">
        <v>175000.0</v>
      </c>
    </row>
    <row r="55" ht="17.25" customHeight="1">
      <c r="A55" s="1" t="s">
        <v>320</v>
      </c>
      <c r="B55" s="2">
        <v>45812.4233912037</v>
      </c>
      <c r="C55" s="2">
        <v>45812.4233912037</v>
      </c>
      <c r="F55" s="1" t="s">
        <v>321</v>
      </c>
      <c r="G55" s="1" t="s">
        <v>322</v>
      </c>
      <c r="H55" s="1" t="s">
        <v>323</v>
      </c>
      <c r="I55" s="1" t="s">
        <v>324</v>
      </c>
      <c r="J55" s="1" t="s">
        <v>323</v>
      </c>
      <c r="K55" s="1" t="s">
        <v>324</v>
      </c>
      <c r="L55" s="1" t="s">
        <v>324</v>
      </c>
      <c r="M55" s="1">
        <v>53301.0</v>
      </c>
      <c r="N55" s="1" t="s">
        <v>325</v>
      </c>
      <c r="O55" s="1" t="s">
        <v>30</v>
      </c>
      <c r="P55" s="1" t="s">
        <v>31</v>
      </c>
      <c r="Q55" s="1">
        <v>1.0</v>
      </c>
      <c r="T55" s="1">
        <v>175000.0</v>
      </c>
      <c r="U55" s="1">
        <v>0.0</v>
      </c>
      <c r="V55" s="1">
        <v>0.0</v>
      </c>
      <c r="W55" s="1">
        <v>175000.0</v>
      </c>
    </row>
    <row r="56" ht="17.25" customHeight="1">
      <c r="A56" s="1" t="s">
        <v>320</v>
      </c>
      <c r="B56" s="2">
        <v>45812.433275462965</v>
      </c>
      <c r="C56" s="2">
        <v>45812.433275462965</v>
      </c>
      <c r="F56" s="1" t="s">
        <v>326</v>
      </c>
      <c r="G56" s="1" t="s">
        <v>327</v>
      </c>
      <c r="H56" s="1" t="s">
        <v>328</v>
      </c>
      <c r="I56" s="1" t="s">
        <v>329</v>
      </c>
      <c r="J56" s="1" t="s">
        <v>328</v>
      </c>
      <c r="K56" s="1" t="s">
        <v>329</v>
      </c>
      <c r="L56" s="1" t="s">
        <v>329</v>
      </c>
      <c r="M56" s="1">
        <v>39441.0</v>
      </c>
      <c r="N56" s="1" t="s">
        <v>330</v>
      </c>
      <c r="O56" s="1" t="s">
        <v>30</v>
      </c>
      <c r="P56" s="1" t="s">
        <v>31</v>
      </c>
      <c r="Q56" s="1">
        <v>1.0</v>
      </c>
      <c r="T56" s="1">
        <v>310000.0</v>
      </c>
      <c r="U56" s="1">
        <v>0.0</v>
      </c>
      <c r="V56" s="1">
        <v>0.0</v>
      </c>
      <c r="W56" s="1">
        <v>310000.0</v>
      </c>
    </row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1.43"/>
    <col customWidth="1" min="4" max="5" width="16.29"/>
    <col customWidth="1" min="6" max="16" width="8.71"/>
    <col customWidth="1" min="17" max="17" width="8.86"/>
    <col customWidth="1" min="18" max="18" width="14.14"/>
    <col customWidth="1" min="19" max="24" width="8.71"/>
    <col customWidth="1" min="25" max="25" width="34.14"/>
    <col customWidth="1" min="26" max="28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23</v>
      </c>
      <c r="B2" s="2">
        <v>45804.459340277775</v>
      </c>
      <c r="C2" s="2">
        <v>45804.459340277775</v>
      </c>
      <c r="D2" s="2">
        <v>45805.688310185185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28</v>
      </c>
      <c r="L2" s="1" t="s">
        <v>27</v>
      </c>
      <c r="M2" s="1">
        <v>12080.0</v>
      </c>
      <c r="N2" s="1" t="s">
        <v>29</v>
      </c>
      <c r="O2" s="1" t="s">
        <v>30</v>
      </c>
      <c r="P2" s="1" t="s">
        <v>31</v>
      </c>
      <c r="Q2" s="3">
        <v>1.0</v>
      </c>
      <c r="R2" s="4">
        <v>5.8906503241E11</v>
      </c>
      <c r="T2" s="1">
        <v>175000.0</v>
      </c>
      <c r="U2" s="1">
        <v>0.0</v>
      </c>
      <c r="V2" s="1">
        <v>0.0</v>
      </c>
      <c r="W2" s="1">
        <v>174100.0</v>
      </c>
      <c r="Y2" s="1" t="s">
        <v>113</v>
      </c>
      <c r="Z2" s="5">
        <f t="shared" ref="Z2:Z6" si="1">SUMIF($P$2:$P$583,Y2,$Q$2:$Q$583)</f>
        <v>1</v>
      </c>
      <c r="AA2" s="3">
        <f>Z2</f>
        <v>1</v>
      </c>
      <c r="AB2" s="6">
        <f>AA2+AA3+AA4+AA5</f>
        <v>15</v>
      </c>
    </row>
    <row r="3" ht="17.25" customHeight="1">
      <c r="A3" s="1" t="s">
        <v>23</v>
      </c>
      <c r="B3" s="2">
        <v>45804.461435185185</v>
      </c>
      <c r="C3" s="2">
        <v>45804.461435185185</v>
      </c>
      <c r="D3" s="2">
        <v>45805.688425925924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37</v>
      </c>
      <c r="M3" s="1">
        <v>42172.0</v>
      </c>
      <c r="N3" s="1" t="s">
        <v>38</v>
      </c>
      <c r="O3" s="1" t="s">
        <v>30</v>
      </c>
      <c r="P3" s="1" t="s">
        <v>31</v>
      </c>
      <c r="Q3" s="3">
        <v>2.0</v>
      </c>
      <c r="R3" s="4">
        <v>5.89065031496E11</v>
      </c>
      <c r="T3" s="1">
        <v>712000.0</v>
      </c>
      <c r="U3" s="1">
        <v>0.0</v>
      </c>
      <c r="V3" s="1">
        <v>0.0</v>
      </c>
      <c r="W3" s="1">
        <v>676400.0</v>
      </c>
      <c r="Y3" s="1" t="s">
        <v>54</v>
      </c>
      <c r="Z3" s="5">
        <f t="shared" si="1"/>
        <v>3</v>
      </c>
      <c r="AA3" s="3">
        <f>Z3*2</f>
        <v>6</v>
      </c>
    </row>
    <row r="4" ht="17.25" customHeight="1">
      <c r="A4" s="1" t="s">
        <v>23</v>
      </c>
      <c r="B4" s="2">
        <v>45804.461180555554</v>
      </c>
      <c r="C4" s="2">
        <v>45804.461180555554</v>
      </c>
      <c r="D4" s="2">
        <v>45805.68846064815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41</v>
      </c>
      <c r="K4" s="1" t="s">
        <v>42</v>
      </c>
      <c r="L4" s="1" t="s">
        <v>42</v>
      </c>
      <c r="M4" s="1">
        <v>10893.0</v>
      </c>
      <c r="N4" s="1" t="s">
        <v>43</v>
      </c>
      <c r="O4" s="1" t="s">
        <v>30</v>
      </c>
      <c r="P4" s="1" t="s">
        <v>31</v>
      </c>
      <c r="Q4" s="3">
        <v>1.0</v>
      </c>
      <c r="R4" s="4">
        <v>5.89065032535E11</v>
      </c>
      <c r="T4" s="1">
        <v>175000.0</v>
      </c>
      <c r="U4" s="1">
        <v>0.0</v>
      </c>
      <c r="V4" s="1">
        <v>0.0</v>
      </c>
      <c r="W4" s="1">
        <v>175000.0</v>
      </c>
      <c r="Y4" s="1" t="s">
        <v>314</v>
      </c>
      <c r="Z4" s="5">
        <f t="shared" si="1"/>
        <v>0</v>
      </c>
      <c r="AA4" s="3">
        <f>Z4*3</f>
        <v>0</v>
      </c>
    </row>
    <row r="5" ht="17.25" customHeight="1">
      <c r="A5" s="1" t="s">
        <v>23</v>
      </c>
      <c r="B5" s="2">
        <v>45804.4628125</v>
      </c>
      <c r="C5" s="2">
        <v>45804.4628125</v>
      </c>
      <c r="D5" s="2">
        <v>45805.68851851852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46</v>
      </c>
      <c r="K5" s="1" t="s">
        <v>47</v>
      </c>
      <c r="L5" s="1" t="s">
        <v>47</v>
      </c>
      <c r="M5" s="1">
        <v>7808.0</v>
      </c>
      <c r="N5" s="1" t="s">
        <v>48</v>
      </c>
      <c r="O5" s="1" t="s">
        <v>30</v>
      </c>
      <c r="P5" s="1" t="s">
        <v>31</v>
      </c>
      <c r="Q5" s="3">
        <v>1.0</v>
      </c>
      <c r="R5" s="4">
        <v>5.89065032395E11</v>
      </c>
      <c r="T5" s="1">
        <v>175000.0</v>
      </c>
      <c r="U5" s="1">
        <v>0.0</v>
      </c>
      <c r="V5" s="1">
        <v>0.0</v>
      </c>
      <c r="W5" s="1">
        <v>175000.0</v>
      </c>
      <c r="Y5" s="1" t="s">
        <v>153</v>
      </c>
      <c r="Z5" s="5">
        <f t="shared" si="1"/>
        <v>2</v>
      </c>
      <c r="AA5" s="3">
        <f>Z5*4</f>
        <v>8</v>
      </c>
    </row>
    <row r="6" ht="17.25" customHeight="1">
      <c r="A6" s="1" t="s">
        <v>23</v>
      </c>
      <c r="B6" s="2">
        <v>45804.463229166664</v>
      </c>
      <c r="C6" s="2">
        <v>45804.463229166664</v>
      </c>
      <c r="D6" s="2">
        <v>45805.69511574074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51</v>
      </c>
      <c r="K6" s="1" t="s">
        <v>52</v>
      </c>
      <c r="L6" s="1" t="s">
        <v>52</v>
      </c>
      <c r="M6" s="1">
        <v>16016.0</v>
      </c>
      <c r="N6" s="1" t="s">
        <v>53</v>
      </c>
      <c r="O6" s="1" t="s">
        <v>30</v>
      </c>
      <c r="P6" s="1" t="s">
        <v>54</v>
      </c>
      <c r="Q6" s="3">
        <v>1.0</v>
      </c>
      <c r="R6" s="4">
        <v>5.89065024146E11</v>
      </c>
      <c r="T6" s="1">
        <v>189000.0</v>
      </c>
      <c r="U6" s="1">
        <v>0.0</v>
      </c>
      <c r="V6" s="1">
        <v>0.0</v>
      </c>
      <c r="W6" s="1">
        <v>189000.0</v>
      </c>
      <c r="Y6" s="7" t="s">
        <v>31</v>
      </c>
      <c r="Z6" s="6">
        <f t="shared" si="1"/>
        <v>27</v>
      </c>
      <c r="AA6" s="3"/>
      <c r="AB6" s="3"/>
    </row>
    <row r="7" ht="17.25" customHeight="1">
      <c r="A7" s="1" t="s">
        <v>23</v>
      </c>
      <c r="B7" s="2">
        <v>45804.46633101852</v>
      </c>
      <c r="C7" s="2">
        <v>45804.46633101852</v>
      </c>
      <c r="D7" s="2">
        <v>45805.68859953704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57</v>
      </c>
      <c r="K7" s="1" t="s">
        <v>58</v>
      </c>
      <c r="L7" s="1" t="s">
        <v>58</v>
      </c>
      <c r="M7" s="1">
        <v>50534.0</v>
      </c>
      <c r="N7" s="1" t="s">
        <v>59</v>
      </c>
      <c r="O7" s="1" t="s">
        <v>30</v>
      </c>
      <c r="P7" s="1" t="s">
        <v>31</v>
      </c>
      <c r="Q7" s="3">
        <v>1.0</v>
      </c>
      <c r="R7" s="4">
        <v>5.89065032572E11</v>
      </c>
      <c r="T7" s="1">
        <v>175000.0</v>
      </c>
      <c r="U7" s="1">
        <v>0.0</v>
      </c>
      <c r="V7" s="1">
        <v>0.0</v>
      </c>
      <c r="W7" s="1">
        <v>175000.0</v>
      </c>
    </row>
    <row r="8" ht="17.25" customHeight="1">
      <c r="A8" s="1" t="s">
        <v>23</v>
      </c>
      <c r="B8" s="2">
        <v>45804.46828703704</v>
      </c>
      <c r="C8" s="2">
        <v>45804.46828703704</v>
      </c>
      <c r="D8" s="2">
        <v>45805.68865740741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62</v>
      </c>
      <c r="K8" s="1" t="s">
        <v>63</v>
      </c>
      <c r="L8" s="1" t="s">
        <v>63</v>
      </c>
      <c r="M8" s="1">
        <v>44920.0</v>
      </c>
      <c r="N8" s="1" t="s">
        <v>64</v>
      </c>
      <c r="O8" s="1" t="s">
        <v>30</v>
      </c>
      <c r="P8" s="1" t="s">
        <v>31</v>
      </c>
      <c r="Q8" s="3">
        <v>1.0</v>
      </c>
      <c r="R8" s="4">
        <v>5.89065032454E11</v>
      </c>
      <c r="T8" s="1">
        <v>175000.0</v>
      </c>
      <c r="U8" s="1">
        <v>0.0</v>
      </c>
      <c r="V8" s="1">
        <v>0.0</v>
      </c>
      <c r="W8" s="1">
        <v>175000.0</v>
      </c>
    </row>
    <row r="9" ht="17.25" customHeight="1">
      <c r="A9" s="1" t="s">
        <v>23</v>
      </c>
      <c r="B9" s="2">
        <v>45804.47314814815</v>
      </c>
      <c r="C9" s="2">
        <v>45804.47314814815</v>
      </c>
      <c r="D9" s="2">
        <v>45805.688738425924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>
        <v>30083.0</v>
      </c>
      <c r="N9" s="1" t="s">
        <v>72</v>
      </c>
      <c r="O9" s="1" t="s">
        <v>30</v>
      </c>
      <c r="P9" s="1" t="s">
        <v>31</v>
      </c>
      <c r="Q9" s="3">
        <v>1.0</v>
      </c>
      <c r="R9" s="4">
        <v>5.89065032465E11</v>
      </c>
      <c r="T9" s="1">
        <v>175000.0</v>
      </c>
      <c r="U9" s="1">
        <v>0.0</v>
      </c>
      <c r="V9" s="1">
        <v>0.0</v>
      </c>
      <c r="W9" s="1">
        <v>175000.0</v>
      </c>
    </row>
    <row r="10" ht="17.25" customHeight="1">
      <c r="A10" s="1" t="s">
        <v>23</v>
      </c>
      <c r="B10" s="2">
        <v>45804.473958333336</v>
      </c>
      <c r="C10" s="2">
        <v>45804.473958333336</v>
      </c>
      <c r="D10" s="2">
        <v>45805.68875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75</v>
      </c>
      <c r="K10" s="1" t="s">
        <v>76</v>
      </c>
      <c r="L10" s="1" t="s">
        <v>76</v>
      </c>
      <c r="M10" s="1">
        <v>16711.0</v>
      </c>
      <c r="N10" s="1" t="s">
        <v>77</v>
      </c>
      <c r="O10" s="1" t="s">
        <v>30</v>
      </c>
      <c r="P10" s="1" t="s">
        <v>31</v>
      </c>
      <c r="Q10" s="3">
        <v>1.0</v>
      </c>
      <c r="R10" s="4">
        <v>5.89065032373E11</v>
      </c>
      <c r="T10" s="1">
        <v>175000.0</v>
      </c>
      <c r="U10" s="1">
        <v>0.0</v>
      </c>
      <c r="V10" s="1">
        <v>0.0</v>
      </c>
      <c r="W10" s="1">
        <v>175000.0</v>
      </c>
    </row>
    <row r="11" ht="17.25" customHeight="1">
      <c r="A11" s="1" t="s">
        <v>23</v>
      </c>
      <c r="B11" s="2">
        <v>45804.4765625</v>
      </c>
      <c r="C11" s="2">
        <v>45804.48180555556</v>
      </c>
      <c r="D11" s="2">
        <v>45805.688784722224</v>
      </c>
      <c r="F11" s="1" t="s">
        <v>78</v>
      </c>
      <c r="G11" s="1" t="s">
        <v>79</v>
      </c>
      <c r="H11" s="1" t="s">
        <v>80</v>
      </c>
      <c r="I11" s="1" t="s">
        <v>81</v>
      </c>
      <c r="J11" s="1" t="s">
        <v>80</v>
      </c>
      <c r="K11" s="1" t="s">
        <v>82</v>
      </c>
      <c r="L11" s="1" t="s">
        <v>81</v>
      </c>
      <c r="M11" s="1">
        <v>14072.0</v>
      </c>
      <c r="N11" s="1" t="s">
        <v>83</v>
      </c>
      <c r="O11" s="1" t="s">
        <v>30</v>
      </c>
      <c r="P11" s="1" t="s">
        <v>31</v>
      </c>
      <c r="Q11" s="3">
        <v>1.0</v>
      </c>
      <c r="R11" s="4">
        <v>5.8906503248E11</v>
      </c>
      <c r="T11" s="1">
        <v>175000.0</v>
      </c>
      <c r="U11" s="1">
        <v>0.0</v>
      </c>
      <c r="V11" s="1">
        <v>0.0</v>
      </c>
      <c r="W11" s="1">
        <v>175000.0</v>
      </c>
    </row>
    <row r="12" ht="17.25" customHeight="1">
      <c r="A12" s="1" t="s">
        <v>23</v>
      </c>
      <c r="B12" s="2">
        <v>45804.480416666665</v>
      </c>
      <c r="C12" s="2">
        <v>45804.480416666665</v>
      </c>
      <c r="D12" s="2">
        <v>45805.68881944445</v>
      </c>
      <c r="F12" s="1" t="s">
        <v>84</v>
      </c>
      <c r="G12" s="1" t="s">
        <v>85</v>
      </c>
      <c r="H12" s="1" t="s">
        <v>86</v>
      </c>
      <c r="I12" s="1" t="s">
        <v>87</v>
      </c>
      <c r="J12" s="1" t="s">
        <v>86</v>
      </c>
      <c r="K12" s="1" t="s">
        <v>87</v>
      </c>
      <c r="L12" s="1" t="s">
        <v>87</v>
      </c>
      <c r="M12" s="1">
        <v>48530.0</v>
      </c>
      <c r="N12" s="1" t="s">
        <v>88</v>
      </c>
      <c r="O12" s="1" t="s">
        <v>30</v>
      </c>
      <c r="P12" s="1" t="s">
        <v>31</v>
      </c>
      <c r="Q12" s="3">
        <v>1.0</v>
      </c>
      <c r="R12" s="4">
        <v>5.89065032605E11</v>
      </c>
      <c r="T12" s="1">
        <v>175000.0</v>
      </c>
      <c r="U12" s="1">
        <v>0.0</v>
      </c>
      <c r="V12" s="1">
        <v>0.0</v>
      </c>
      <c r="W12" s="1">
        <v>175000.0</v>
      </c>
    </row>
    <row r="13" ht="17.25" customHeight="1">
      <c r="A13" s="1" t="s">
        <v>23</v>
      </c>
      <c r="B13" s="2">
        <v>45804.48193287037</v>
      </c>
      <c r="C13" s="2">
        <v>45804.48193287037</v>
      </c>
      <c r="D13" s="2">
        <v>45805.68884259259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91</v>
      </c>
      <c r="K13" s="1" t="s">
        <v>92</v>
      </c>
      <c r="L13" s="1" t="s">
        <v>92</v>
      </c>
      <c r="M13" s="1">
        <v>37119.0</v>
      </c>
      <c r="N13" s="1" t="s">
        <v>93</v>
      </c>
      <c r="O13" s="1" t="s">
        <v>30</v>
      </c>
      <c r="P13" s="1" t="s">
        <v>54</v>
      </c>
      <c r="Q13" s="3">
        <v>1.0</v>
      </c>
      <c r="R13" s="4">
        <v>5.89065032745E11</v>
      </c>
      <c r="T13" s="1">
        <v>180000.0</v>
      </c>
      <c r="U13" s="1">
        <v>0.0</v>
      </c>
      <c r="V13" s="1">
        <v>0.0</v>
      </c>
      <c r="W13" s="1">
        <v>180000.0</v>
      </c>
    </row>
    <row r="14" ht="17.25" customHeight="1">
      <c r="A14" s="1" t="s">
        <v>23</v>
      </c>
      <c r="B14" s="2">
        <v>45804.49251157408</v>
      </c>
      <c r="C14" s="2">
        <v>45804.49251157408</v>
      </c>
      <c r="D14" s="2">
        <v>45805.68890046296</v>
      </c>
      <c r="F14" s="1" t="s">
        <v>101</v>
      </c>
      <c r="G14" s="1" t="s">
        <v>102</v>
      </c>
      <c r="H14" s="1" t="s">
        <v>103</v>
      </c>
      <c r="I14" s="1" t="s">
        <v>104</v>
      </c>
      <c r="J14" s="1" t="s">
        <v>103</v>
      </c>
      <c r="K14" s="1" t="s">
        <v>104</v>
      </c>
      <c r="L14" s="1" t="s">
        <v>104</v>
      </c>
      <c r="M14" s="1">
        <v>4024.0</v>
      </c>
      <c r="N14" s="1" t="s">
        <v>105</v>
      </c>
      <c r="O14" s="1" t="s">
        <v>30</v>
      </c>
      <c r="P14" s="1" t="s">
        <v>31</v>
      </c>
      <c r="Q14" s="3">
        <v>1.0</v>
      </c>
      <c r="R14" s="4">
        <v>5.89065032502E11</v>
      </c>
      <c r="T14" s="1">
        <v>175000.0</v>
      </c>
      <c r="U14" s="1">
        <v>0.0</v>
      </c>
      <c r="V14" s="1">
        <v>0.0</v>
      </c>
      <c r="W14" s="1">
        <v>175000.0</v>
      </c>
    </row>
    <row r="15" ht="17.25" customHeight="1">
      <c r="A15" s="1" t="s">
        <v>23</v>
      </c>
      <c r="B15" s="2">
        <v>45804.495</v>
      </c>
      <c r="C15" s="2">
        <v>45804.495</v>
      </c>
      <c r="D15" s="2">
        <v>45805.68891203704</v>
      </c>
      <c r="F15" s="1" t="s">
        <v>106</v>
      </c>
      <c r="G15" s="1" t="s">
        <v>107</v>
      </c>
      <c r="H15" s="1" t="s">
        <v>108</v>
      </c>
      <c r="I15" s="1" t="s">
        <v>109</v>
      </c>
      <c r="J15" s="1" t="s">
        <v>110</v>
      </c>
      <c r="K15" s="1" t="s">
        <v>111</v>
      </c>
      <c r="L15" s="1" t="s">
        <v>109</v>
      </c>
      <c r="M15" s="1">
        <v>13010.0</v>
      </c>
      <c r="N15" s="1" t="s">
        <v>112</v>
      </c>
      <c r="O15" s="1" t="s">
        <v>30</v>
      </c>
      <c r="P15" s="1" t="s">
        <v>113</v>
      </c>
      <c r="Q15" s="3">
        <v>1.0</v>
      </c>
      <c r="R15" s="4">
        <v>5.89065033482E11</v>
      </c>
      <c r="T15" s="1">
        <v>38000.0</v>
      </c>
      <c r="U15" s="1">
        <v>0.0</v>
      </c>
      <c r="V15" s="1">
        <v>3000.0</v>
      </c>
      <c r="W15" s="1">
        <v>38800.0</v>
      </c>
    </row>
    <row r="16" ht="17.25" customHeight="1">
      <c r="A16" s="1" t="s">
        <v>23</v>
      </c>
      <c r="B16" s="2">
        <v>45804.50164351852</v>
      </c>
      <c r="C16" s="2">
        <v>45804.50164351852</v>
      </c>
      <c r="D16" s="2">
        <v>45805.68896990741</v>
      </c>
      <c r="F16" s="1" t="s">
        <v>114</v>
      </c>
      <c r="G16" s="1" t="s">
        <v>115</v>
      </c>
      <c r="H16" s="1" t="s">
        <v>116</v>
      </c>
      <c r="I16" s="1" t="s">
        <v>117</v>
      </c>
      <c r="J16" s="1" t="s">
        <v>116</v>
      </c>
      <c r="K16" s="1" t="s">
        <v>117</v>
      </c>
      <c r="L16" s="1" t="s">
        <v>117</v>
      </c>
      <c r="M16" s="1">
        <v>18034.0</v>
      </c>
      <c r="N16" s="1" t="s">
        <v>118</v>
      </c>
      <c r="O16" s="1" t="s">
        <v>30</v>
      </c>
      <c r="P16" s="1" t="s">
        <v>31</v>
      </c>
      <c r="Q16" s="3">
        <v>1.0</v>
      </c>
      <c r="R16" s="4">
        <v>5.89065032491E11</v>
      </c>
      <c r="T16" s="1">
        <v>175000.0</v>
      </c>
      <c r="U16" s="1">
        <v>0.0</v>
      </c>
      <c r="V16" s="1">
        <v>0.0</v>
      </c>
      <c r="W16" s="1">
        <v>175000.0</v>
      </c>
    </row>
    <row r="17" ht="17.25" customHeight="1">
      <c r="A17" s="1" t="s">
        <v>23</v>
      </c>
      <c r="B17" s="2">
        <v>45804.51366898148</v>
      </c>
      <c r="C17" s="2">
        <v>45804.51366898148</v>
      </c>
      <c r="D17" s="2">
        <v>45805.6890625</v>
      </c>
      <c r="F17" s="1" t="s">
        <v>119</v>
      </c>
      <c r="G17" s="1" t="s">
        <v>120</v>
      </c>
      <c r="H17" s="1" t="s">
        <v>121</v>
      </c>
      <c r="I17" s="1" t="s">
        <v>122</v>
      </c>
      <c r="J17" s="1" t="s">
        <v>121</v>
      </c>
      <c r="K17" s="1" t="s">
        <v>122</v>
      </c>
      <c r="L17" s="1" t="s">
        <v>122</v>
      </c>
      <c r="M17" s="1">
        <v>25909.0</v>
      </c>
      <c r="N17" s="1" t="s">
        <v>123</v>
      </c>
      <c r="O17" s="1" t="s">
        <v>30</v>
      </c>
      <c r="P17" s="1" t="s">
        <v>31</v>
      </c>
      <c r="Q17" s="3">
        <v>1.0</v>
      </c>
      <c r="R17" s="4">
        <v>5.89065032421E11</v>
      </c>
      <c r="T17" s="1">
        <v>175000.0</v>
      </c>
      <c r="U17" s="1">
        <v>0.0</v>
      </c>
      <c r="V17" s="1">
        <v>0.0</v>
      </c>
      <c r="W17" s="1">
        <v>175000.0</v>
      </c>
    </row>
    <row r="18" ht="17.25" customHeight="1">
      <c r="A18" s="1" t="s">
        <v>23</v>
      </c>
      <c r="B18" s="2">
        <v>45804.51732638889</v>
      </c>
      <c r="C18" s="2">
        <v>45804.51732638889</v>
      </c>
      <c r="D18" s="2">
        <v>45805.68907407407</v>
      </c>
      <c r="F18" s="1" t="s">
        <v>124</v>
      </c>
      <c r="G18" s="1" t="s">
        <v>125</v>
      </c>
      <c r="H18" s="1" t="s">
        <v>126</v>
      </c>
      <c r="I18" s="1" t="s">
        <v>127</v>
      </c>
      <c r="J18" s="1" t="s">
        <v>126</v>
      </c>
      <c r="K18" s="1" t="s">
        <v>128</v>
      </c>
      <c r="L18" s="1" t="s">
        <v>127</v>
      </c>
      <c r="M18" s="1">
        <v>7039.0</v>
      </c>
      <c r="N18" s="1" t="s">
        <v>129</v>
      </c>
      <c r="O18" s="1" t="s">
        <v>30</v>
      </c>
      <c r="P18" s="1" t="s">
        <v>31</v>
      </c>
      <c r="Q18" s="3">
        <v>1.0</v>
      </c>
      <c r="R18" s="4">
        <v>5.89065032443E11</v>
      </c>
      <c r="T18" s="1">
        <v>175000.0</v>
      </c>
      <c r="U18" s="1">
        <v>0.0</v>
      </c>
      <c r="V18" s="1">
        <v>0.0</v>
      </c>
      <c r="W18" s="1">
        <v>175000.0</v>
      </c>
    </row>
    <row r="19" ht="17.25" customHeight="1">
      <c r="A19" s="1" t="s">
        <v>23</v>
      </c>
      <c r="B19" s="2">
        <v>45804.53685185185</v>
      </c>
      <c r="C19" s="2">
        <v>45804.53685185185</v>
      </c>
      <c r="D19" s="2">
        <v>45805.69513888889</v>
      </c>
      <c r="F19" s="1" t="s">
        <v>137</v>
      </c>
      <c r="G19" s="1" t="s">
        <v>138</v>
      </c>
      <c r="H19" s="1" t="s">
        <v>139</v>
      </c>
      <c r="I19" s="1" t="s">
        <v>140</v>
      </c>
      <c r="J19" s="1" t="s">
        <v>139</v>
      </c>
      <c r="K19" s="1" t="s">
        <v>140</v>
      </c>
      <c r="L19" s="1" t="s">
        <v>140</v>
      </c>
      <c r="M19" s="1">
        <v>41550.0</v>
      </c>
      <c r="N19" s="1" t="s">
        <v>141</v>
      </c>
      <c r="O19" s="1" t="s">
        <v>30</v>
      </c>
      <c r="P19" s="1" t="s">
        <v>31</v>
      </c>
      <c r="Q19" s="3">
        <v>1.0</v>
      </c>
      <c r="R19" s="4">
        <v>5.89065023866E11</v>
      </c>
      <c r="T19" s="1">
        <v>350000.0</v>
      </c>
      <c r="U19" s="1">
        <v>0.0</v>
      </c>
      <c r="V19" s="1">
        <v>0.0</v>
      </c>
      <c r="W19" s="1">
        <v>350000.0</v>
      </c>
    </row>
    <row r="20" ht="17.25" customHeight="1">
      <c r="A20" s="1" t="s">
        <v>23</v>
      </c>
      <c r="B20" s="2">
        <v>45804.53875</v>
      </c>
      <c r="C20" s="2">
        <v>45804.53875</v>
      </c>
      <c r="D20" s="2">
        <v>45805.689155092594</v>
      </c>
      <c r="F20" s="1" t="s">
        <v>142</v>
      </c>
      <c r="G20" s="1" t="s">
        <v>143</v>
      </c>
      <c r="H20" s="1" t="s">
        <v>144</v>
      </c>
      <c r="I20" s="1" t="s">
        <v>145</v>
      </c>
      <c r="J20" s="1" t="s">
        <v>144</v>
      </c>
      <c r="K20" s="1" t="s">
        <v>145</v>
      </c>
      <c r="L20" s="1" t="s">
        <v>145</v>
      </c>
      <c r="M20" s="1">
        <v>50575.0</v>
      </c>
      <c r="N20" s="1" t="s">
        <v>146</v>
      </c>
      <c r="O20" s="1" t="s">
        <v>30</v>
      </c>
      <c r="P20" s="1" t="s">
        <v>31</v>
      </c>
      <c r="Q20" s="3">
        <v>1.0</v>
      </c>
      <c r="R20" s="4">
        <v>5.8906503255E11</v>
      </c>
      <c r="T20" s="1">
        <v>175000.0</v>
      </c>
      <c r="U20" s="1">
        <v>0.0</v>
      </c>
      <c r="V20" s="1">
        <v>0.0</v>
      </c>
      <c r="W20" s="1">
        <v>175000.0</v>
      </c>
    </row>
    <row r="21" ht="17.25" customHeight="1">
      <c r="A21" s="1" t="s">
        <v>23</v>
      </c>
      <c r="B21" s="2">
        <v>45804.5565625</v>
      </c>
      <c r="C21" s="2">
        <v>45804.6358912037</v>
      </c>
      <c r="D21" s="2">
        <v>45805.69802083333</v>
      </c>
      <c r="F21" s="1" t="s">
        <v>147</v>
      </c>
      <c r="G21" s="1" t="s">
        <v>148</v>
      </c>
      <c r="H21" s="1" t="s">
        <v>149</v>
      </c>
      <c r="I21" s="1" t="s">
        <v>150</v>
      </c>
      <c r="J21" s="1" t="s">
        <v>149</v>
      </c>
      <c r="K21" s="1" t="s">
        <v>151</v>
      </c>
      <c r="L21" s="1" t="s">
        <v>150</v>
      </c>
      <c r="M21" s="1">
        <v>16850.0</v>
      </c>
      <c r="N21" s="1" t="s">
        <v>152</v>
      </c>
      <c r="O21" s="1" t="s">
        <v>30</v>
      </c>
      <c r="P21" s="1" t="s">
        <v>153</v>
      </c>
      <c r="Q21" s="3">
        <v>1.0</v>
      </c>
      <c r="R21" s="4">
        <v>5.89065024102E11</v>
      </c>
      <c r="T21" s="1">
        <v>288000.0</v>
      </c>
      <c r="U21" s="1">
        <v>0.0</v>
      </c>
      <c r="V21" s="1">
        <v>0.0</v>
      </c>
      <c r="W21" s="1">
        <v>288000.0</v>
      </c>
    </row>
    <row r="22" ht="17.25" customHeight="1">
      <c r="A22" s="1" t="s">
        <v>23</v>
      </c>
      <c r="B22" s="2">
        <v>45804.56193287037</v>
      </c>
      <c r="C22" s="2">
        <v>45804.56193287037</v>
      </c>
      <c r="D22" s="2">
        <v>45805.68922453704</v>
      </c>
      <c r="F22" s="1" t="s">
        <v>154</v>
      </c>
      <c r="G22" s="1" t="s">
        <v>155</v>
      </c>
      <c r="H22" s="1" t="s">
        <v>156</v>
      </c>
      <c r="I22" s="1" t="s">
        <v>157</v>
      </c>
      <c r="J22" s="1" t="s">
        <v>156</v>
      </c>
      <c r="K22" s="1" t="s">
        <v>158</v>
      </c>
      <c r="L22" s="1" t="s">
        <v>157</v>
      </c>
      <c r="M22" s="1">
        <v>16547.0</v>
      </c>
      <c r="N22" s="1" t="s">
        <v>159</v>
      </c>
      <c r="O22" s="1" t="s">
        <v>30</v>
      </c>
      <c r="P22" s="1" t="s">
        <v>54</v>
      </c>
      <c r="Q22" s="3">
        <v>1.0</v>
      </c>
      <c r="R22" s="4">
        <v>5.89065033272E11</v>
      </c>
      <c r="T22" s="1">
        <v>75000.0</v>
      </c>
      <c r="U22" s="1">
        <v>0.0</v>
      </c>
      <c r="V22" s="1">
        <v>0.0</v>
      </c>
      <c r="W22" s="1">
        <v>75000.0</v>
      </c>
    </row>
    <row r="23" ht="17.25" customHeight="1">
      <c r="A23" s="1" t="s">
        <v>23</v>
      </c>
      <c r="B23" s="2">
        <v>45804.61739583333</v>
      </c>
      <c r="C23" s="2">
        <v>45804.61739583333</v>
      </c>
      <c r="D23" s="2">
        <v>45805.68934027778</v>
      </c>
      <c r="F23" s="1" t="s">
        <v>160</v>
      </c>
      <c r="G23" s="1" t="s">
        <v>161</v>
      </c>
      <c r="H23" s="1" t="s">
        <v>162</v>
      </c>
      <c r="I23" s="1" t="s">
        <v>163</v>
      </c>
      <c r="J23" s="1" t="s">
        <v>162</v>
      </c>
      <c r="K23" s="1" t="s">
        <v>163</v>
      </c>
      <c r="L23" s="1" t="s">
        <v>163</v>
      </c>
      <c r="M23" s="1">
        <v>58244.0</v>
      </c>
      <c r="N23" s="1" t="s">
        <v>164</v>
      </c>
      <c r="O23" s="1" t="s">
        <v>30</v>
      </c>
      <c r="P23" s="1" t="s">
        <v>31</v>
      </c>
      <c r="Q23" s="3">
        <v>1.0</v>
      </c>
      <c r="R23" s="4">
        <v>5.89065032546E11</v>
      </c>
      <c r="T23" s="1">
        <v>356000.0</v>
      </c>
      <c r="U23" s="1">
        <v>0.0</v>
      </c>
      <c r="V23" s="1">
        <v>0.0</v>
      </c>
      <c r="W23" s="1">
        <v>356000.0</v>
      </c>
    </row>
    <row r="24" ht="17.25" customHeight="1">
      <c r="A24" s="1" t="s">
        <v>23</v>
      </c>
      <c r="B24" s="2">
        <v>45804.676203703704</v>
      </c>
      <c r="C24" s="2">
        <v>45804.676203703704</v>
      </c>
      <c r="D24" s="2">
        <v>45805.68943287037</v>
      </c>
      <c r="F24" s="1" t="s">
        <v>165</v>
      </c>
      <c r="G24" s="1" t="s">
        <v>166</v>
      </c>
      <c r="H24" s="1" t="s">
        <v>167</v>
      </c>
      <c r="I24" s="1" t="s">
        <v>168</v>
      </c>
      <c r="J24" s="1" t="s">
        <v>167</v>
      </c>
      <c r="K24" s="1" t="s">
        <v>169</v>
      </c>
      <c r="L24" s="1" t="s">
        <v>168</v>
      </c>
      <c r="M24" s="1">
        <v>8083.0</v>
      </c>
      <c r="N24" s="1" t="s">
        <v>170</v>
      </c>
      <c r="O24" s="1" t="s">
        <v>30</v>
      </c>
      <c r="P24" s="1" t="s">
        <v>31</v>
      </c>
      <c r="Q24" s="3">
        <v>1.0</v>
      </c>
      <c r="R24" s="4">
        <v>5.89065032476E11</v>
      </c>
      <c r="T24" s="1">
        <v>175000.0</v>
      </c>
      <c r="U24" s="1">
        <v>0.0</v>
      </c>
      <c r="V24" s="1">
        <v>0.0</v>
      </c>
      <c r="W24" s="1">
        <v>175000.0</v>
      </c>
    </row>
    <row r="25" ht="17.25" customHeight="1">
      <c r="A25" s="1" t="s">
        <v>23</v>
      </c>
      <c r="B25" s="2">
        <v>45804.754699074074</v>
      </c>
      <c r="C25" s="2">
        <v>45804.754699074074</v>
      </c>
      <c r="D25" s="2">
        <v>45805.689571759256</v>
      </c>
      <c r="F25" s="1" t="s">
        <v>171</v>
      </c>
      <c r="G25" s="1" t="s">
        <v>172</v>
      </c>
      <c r="H25" s="1" t="s">
        <v>173</v>
      </c>
      <c r="I25" s="1" t="s">
        <v>174</v>
      </c>
      <c r="J25" s="1" t="s">
        <v>173</v>
      </c>
      <c r="K25" s="1" t="s">
        <v>175</v>
      </c>
      <c r="L25" s="1" t="s">
        <v>174</v>
      </c>
      <c r="M25" s="1">
        <v>10543.0</v>
      </c>
      <c r="N25" s="1" t="s">
        <v>176</v>
      </c>
      <c r="O25" s="1" t="s">
        <v>30</v>
      </c>
      <c r="P25" s="1" t="s">
        <v>31</v>
      </c>
      <c r="Q25" s="3">
        <v>1.0</v>
      </c>
      <c r="R25" s="4">
        <v>5.89065026946E11</v>
      </c>
      <c r="T25" s="1">
        <v>491000.0</v>
      </c>
      <c r="U25" s="1">
        <v>0.0</v>
      </c>
      <c r="V25" s="1">
        <v>0.0</v>
      </c>
      <c r="W25" s="1">
        <v>491000.0</v>
      </c>
    </row>
    <row r="26" ht="17.25" customHeight="1">
      <c r="A26" s="1" t="s">
        <v>23</v>
      </c>
      <c r="B26" s="2">
        <v>45804.836747685185</v>
      </c>
      <c r="C26" s="2">
        <v>45804.836747685185</v>
      </c>
      <c r="D26" s="2">
        <v>45805.68971064815</v>
      </c>
      <c r="F26" s="1" t="s">
        <v>177</v>
      </c>
      <c r="G26" s="1" t="s">
        <v>178</v>
      </c>
      <c r="H26" s="1" t="s">
        <v>179</v>
      </c>
      <c r="I26" s="1" t="s">
        <v>180</v>
      </c>
      <c r="J26" s="1" t="s">
        <v>179</v>
      </c>
      <c r="K26" s="1" t="s">
        <v>180</v>
      </c>
      <c r="L26" s="1" t="s">
        <v>180</v>
      </c>
      <c r="M26" s="1">
        <v>10410.0</v>
      </c>
      <c r="N26" s="1" t="s">
        <v>181</v>
      </c>
      <c r="O26" s="1" t="s">
        <v>30</v>
      </c>
      <c r="P26" s="1" t="s">
        <v>31</v>
      </c>
      <c r="Q26" s="3">
        <v>1.0</v>
      </c>
      <c r="R26" s="4">
        <v>5.89065032981E11</v>
      </c>
      <c r="T26" s="1">
        <v>259000.0</v>
      </c>
      <c r="U26" s="1">
        <v>0.0</v>
      </c>
      <c r="V26" s="1">
        <v>0.0</v>
      </c>
      <c r="W26" s="1">
        <v>259000.0</v>
      </c>
    </row>
    <row r="27" ht="17.25" customHeight="1">
      <c r="A27" s="1" t="s">
        <v>23</v>
      </c>
      <c r="B27" s="2">
        <v>45804.85319444445</v>
      </c>
      <c r="C27" s="2">
        <v>45804.85319444445</v>
      </c>
      <c r="D27" s="2">
        <v>45805.689733796295</v>
      </c>
      <c r="F27" s="1" t="s">
        <v>182</v>
      </c>
      <c r="G27" s="1" t="s">
        <v>183</v>
      </c>
      <c r="H27" s="1" t="s">
        <v>184</v>
      </c>
      <c r="I27" s="1" t="s">
        <v>185</v>
      </c>
      <c r="J27" s="1" t="s">
        <v>184</v>
      </c>
      <c r="K27" s="1" t="s">
        <v>185</v>
      </c>
      <c r="L27" s="1" t="s">
        <v>185</v>
      </c>
      <c r="M27" s="1">
        <v>13589.0</v>
      </c>
      <c r="N27" s="1" t="s">
        <v>186</v>
      </c>
      <c r="O27" s="1" t="s">
        <v>30</v>
      </c>
      <c r="P27" s="1" t="s">
        <v>153</v>
      </c>
      <c r="Q27" s="3">
        <v>1.0</v>
      </c>
      <c r="R27" s="4">
        <v>5.89065032734E11</v>
      </c>
      <c r="T27" s="1">
        <v>220000.0</v>
      </c>
      <c r="U27" s="1">
        <v>0.0</v>
      </c>
      <c r="V27" s="1">
        <v>0.0</v>
      </c>
      <c r="W27" s="1">
        <v>220000.0</v>
      </c>
    </row>
    <row r="28" ht="17.25" customHeight="1">
      <c r="A28" s="1" t="s">
        <v>23</v>
      </c>
      <c r="B28" s="2">
        <v>45804.90414351852</v>
      </c>
      <c r="C28" s="2">
        <v>45804.90414351852</v>
      </c>
      <c r="D28" s="2">
        <v>45805.68984953704</v>
      </c>
      <c r="F28" s="1" t="s">
        <v>193</v>
      </c>
      <c r="G28" s="1" t="s">
        <v>194</v>
      </c>
      <c r="H28" s="1" t="s">
        <v>195</v>
      </c>
      <c r="I28" s="1" t="s">
        <v>196</v>
      </c>
      <c r="J28" s="1" t="s">
        <v>195</v>
      </c>
      <c r="K28" s="1" t="s">
        <v>197</v>
      </c>
      <c r="L28" s="1" t="s">
        <v>196</v>
      </c>
      <c r="M28" s="1">
        <v>42811.0</v>
      </c>
      <c r="N28" s="1" t="s">
        <v>198</v>
      </c>
      <c r="O28" s="1" t="s">
        <v>30</v>
      </c>
      <c r="P28" s="1" t="s">
        <v>31</v>
      </c>
      <c r="Q28" s="3">
        <v>1.0</v>
      </c>
      <c r="R28" s="4">
        <v>5.89065032524E11</v>
      </c>
      <c r="T28" s="1">
        <v>175000.0</v>
      </c>
      <c r="U28" s="1">
        <v>0.0</v>
      </c>
      <c r="V28" s="1">
        <v>0.0</v>
      </c>
      <c r="W28" s="1">
        <v>173500.0</v>
      </c>
    </row>
    <row r="29" ht="17.25" customHeight="1">
      <c r="A29" s="1" t="s">
        <v>23</v>
      </c>
      <c r="B29" s="2">
        <v>45804.94658564815</v>
      </c>
      <c r="C29" s="2">
        <v>45804.94658564815</v>
      </c>
      <c r="D29" s="2">
        <v>45805.689930555556</v>
      </c>
      <c r="F29" s="1" t="s">
        <v>199</v>
      </c>
      <c r="G29" s="1" t="s">
        <v>200</v>
      </c>
      <c r="H29" s="1" t="s">
        <v>201</v>
      </c>
      <c r="I29" s="1" t="s">
        <v>202</v>
      </c>
      <c r="J29" s="1" t="s">
        <v>201</v>
      </c>
      <c r="K29" s="1" t="s">
        <v>202</v>
      </c>
      <c r="L29" s="1" t="s">
        <v>202</v>
      </c>
      <c r="M29" s="1">
        <v>42653.0</v>
      </c>
      <c r="N29" s="1" t="s">
        <v>203</v>
      </c>
      <c r="O29" s="1" t="s">
        <v>30</v>
      </c>
      <c r="P29" s="1" t="s">
        <v>31</v>
      </c>
      <c r="Q29" s="3">
        <v>1.0</v>
      </c>
      <c r="R29" s="4">
        <v>5.89065032583E11</v>
      </c>
      <c r="T29" s="1">
        <v>175000.0</v>
      </c>
      <c r="U29" s="1">
        <v>0.0</v>
      </c>
      <c r="V29" s="1">
        <v>0.0</v>
      </c>
      <c r="W29" s="1">
        <v>175000.0</v>
      </c>
    </row>
    <row r="30" ht="17.25" customHeight="1">
      <c r="A30" s="1" t="s">
        <v>23</v>
      </c>
      <c r="B30" s="2">
        <v>45804.963784722226</v>
      </c>
      <c r="C30" s="2">
        <v>45804.963784722226</v>
      </c>
      <c r="D30" s="2">
        <v>45805.68996527778</v>
      </c>
      <c r="F30" s="1" t="s">
        <v>204</v>
      </c>
      <c r="G30" s="1" t="s">
        <v>205</v>
      </c>
      <c r="H30" s="1" t="s">
        <v>206</v>
      </c>
      <c r="I30" s="1" t="s">
        <v>207</v>
      </c>
      <c r="J30" s="1" t="s">
        <v>206</v>
      </c>
      <c r="K30" s="1" t="s">
        <v>207</v>
      </c>
      <c r="L30" s="1" t="s">
        <v>207</v>
      </c>
      <c r="M30" s="1">
        <v>50607.0</v>
      </c>
      <c r="N30" s="1" t="s">
        <v>208</v>
      </c>
      <c r="O30" s="1" t="s">
        <v>30</v>
      </c>
      <c r="P30" s="1" t="s">
        <v>31</v>
      </c>
      <c r="Q30" s="3">
        <v>1.0</v>
      </c>
      <c r="R30" s="4">
        <v>5.89065032406E11</v>
      </c>
      <c r="T30" s="1">
        <v>175000.0</v>
      </c>
      <c r="U30" s="1">
        <v>0.0</v>
      </c>
      <c r="V30" s="1">
        <v>0.0</v>
      </c>
      <c r="W30" s="1">
        <v>175000.0</v>
      </c>
    </row>
    <row r="31" ht="17.25" customHeight="1">
      <c r="A31" s="1" t="s">
        <v>23</v>
      </c>
      <c r="B31" s="2">
        <v>45805.11798611111</v>
      </c>
      <c r="C31" s="2">
        <v>45805.11798611111</v>
      </c>
      <c r="D31" s="2">
        <v>45805.69005787037</v>
      </c>
      <c r="F31" s="1" t="s">
        <v>209</v>
      </c>
      <c r="G31" s="1" t="s">
        <v>210</v>
      </c>
      <c r="H31" s="1" t="s">
        <v>211</v>
      </c>
      <c r="I31" s="1" t="s">
        <v>212</v>
      </c>
      <c r="J31" s="1" t="s">
        <v>211</v>
      </c>
      <c r="K31" s="1" t="s">
        <v>213</v>
      </c>
      <c r="L31" s="1" t="s">
        <v>212</v>
      </c>
      <c r="M31" s="1">
        <v>17084.0</v>
      </c>
      <c r="N31" s="1" t="s">
        <v>214</v>
      </c>
      <c r="O31" s="1" t="s">
        <v>30</v>
      </c>
      <c r="P31" s="1" t="s">
        <v>31</v>
      </c>
      <c r="Q31" s="3">
        <v>1.0</v>
      </c>
      <c r="R31" s="4">
        <v>5.89065032513E11</v>
      </c>
      <c r="T31" s="1">
        <v>175000.0</v>
      </c>
      <c r="U31" s="1">
        <v>0.0</v>
      </c>
      <c r="V31" s="1">
        <v>0.0</v>
      </c>
      <c r="W31" s="1">
        <v>175000.0</v>
      </c>
    </row>
    <row r="32" ht="17.25" customHeight="1">
      <c r="A32" s="1" t="s">
        <v>23</v>
      </c>
      <c r="B32" s="2">
        <v>45805.33939814815</v>
      </c>
      <c r="C32" s="2">
        <v>45805.33939814815</v>
      </c>
      <c r="D32" s="2">
        <v>45805.69012731482</v>
      </c>
      <c r="F32" s="1" t="s">
        <v>215</v>
      </c>
      <c r="G32" s="1" t="s">
        <v>216</v>
      </c>
      <c r="H32" s="1" t="s">
        <v>217</v>
      </c>
      <c r="I32" s="1" t="s">
        <v>218</v>
      </c>
      <c r="J32" s="1" t="s">
        <v>217</v>
      </c>
      <c r="K32" s="1" t="s">
        <v>218</v>
      </c>
      <c r="L32" s="1" t="s">
        <v>218</v>
      </c>
      <c r="M32" s="1">
        <v>5312.0</v>
      </c>
      <c r="N32" s="1" t="s">
        <v>219</v>
      </c>
      <c r="O32" s="1" t="s">
        <v>30</v>
      </c>
      <c r="P32" s="1" t="s">
        <v>31</v>
      </c>
      <c r="Q32" s="3">
        <v>1.0</v>
      </c>
      <c r="R32" s="4">
        <v>5.890650287E11</v>
      </c>
      <c r="T32" s="1">
        <v>356000.0</v>
      </c>
      <c r="U32" s="1">
        <v>0.0</v>
      </c>
      <c r="V32" s="1">
        <v>0.0</v>
      </c>
      <c r="W32" s="1">
        <v>355400.0</v>
      </c>
    </row>
    <row r="33" ht="17.25" customHeight="1">
      <c r="A33" s="1" t="s">
        <v>23</v>
      </c>
      <c r="B33" s="2">
        <v>45805.3728125</v>
      </c>
      <c r="C33" s="2">
        <v>45805.3728125</v>
      </c>
      <c r="D33" s="2">
        <v>45805.69018518519</v>
      </c>
      <c r="F33" s="1" t="s">
        <v>220</v>
      </c>
      <c r="G33" s="1" t="s">
        <v>221</v>
      </c>
      <c r="H33" s="1" t="s">
        <v>222</v>
      </c>
      <c r="I33" s="1" t="s">
        <v>223</v>
      </c>
      <c r="J33" s="1" t="s">
        <v>222</v>
      </c>
      <c r="K33" s="1" t="s">
        <v>223</v>
      </c>
      <c r="L33" s="1" t="s">
        <v>223</v>
      </c>
      <c r="M33" s="1">
        <v>16916.0</v>
      </c>
      <c r="N33" s="1" t="s">
        <v>224</v>
      </c>
      <c r="O33" s="1" t="s">
        <v>30</v>
      </c>
      <c r="P33" s="1" t="s">
        <v>31</v>
      </c>
      <c r="Q33" s="3">
        <v>1.0</v>
      </c>
      <c r="R33" s="4">
        <v>5.89065032594E11</v>
      </c>
      <c r="T33" s="1">
        <v>175000.0</v>
      </c>
      <c r="U33" s="1">
        <v>0.0</v>
      </c>
      <c r="V33" s="1">
        <v>0.0</v>
      </c>
      <c r="W33" s="1">
        <v>175000.0</v>
      </c>
    </row>
    <row r="34" ht="17.25" customHeight="1">
      <c r="Q34" s="3"/>
      <c r="R34" s="4"/>
    </row>
    <row r="35" ht="17.25" customHeight="1">
      <c r="Q35" s="3"/>
      <c r="R35" s="4"/>
    </row>
    <row r="36" ht="17.25" customHeight="1">
      <c r="Q36" s="3"/>
      <c r="R36" s="4"/>
    </row>
    <row r="37" ht="17.25" customHeight="1">
      <c r="Q37" s="3"/>
      <c r="R37" s="4"/>
    </row>
    <row r="38" ht="17.25" customHeight="1">
      <c r="Q38" s="3"/>
      <c r="R38" s="4"/>
    </row>
    <row r="39" ht="17.25" customHeight="1">
      <c r="Q39" s="3"/>
      <c r="R39" s="4"/>
    </row>
    <row r="40" ht="17.25" customHeight="1">
      <c r="Q40" s="3"/>
      <c r="R40" s="4"/>
    </row>
    <row r="41" ht="17.25" customHeight="1">
      <c r="Q41" s="3"/>
      <c r="R41" s="4"/>
    </row>
    <row r="42" ht="17.25" customHeight="1">
      <c r="Q42" s="3"/>
      <c r="R42" s="4"/>
    </row>
    <row r="43" ht="17.25" customHeight="1">
      <c r="Q43" s="3"/>
      <c r="R43" s="4"/>
    </row>
    <row r="44" ht="17.25" customHeight="1">
      <c r="Q44" s="3"/>
      <c r="R44" s="4"/>
    </row>
    <row r="45" ht="17.25" customHeight="1">
      <c r="Q45" s="3"/>
      <c r="R45" s="4"/>
    </row>
    <row r="46" ht="17.25" customHeight="1">
      <c r="Q46" s="3"/>
      <c r="R46" s="4"/>
    </row>
    <row r="47" ht="17.25" customHeight="1">
      <c r="Q47" s="3"/>
      <c r="R47" s="4"/>
    </row>
    <row r="48" ht="17.25" customHeight="1">
      <c r="Q48" s="3"/>
      <c r="R48" s="4"/>
    </row>
    <row r="49" ht="17.25" customHeight="1">
      <c r="Q49" s="3"/>
      <c r="R49" s="4"/>
    </row>
    <row r="50" ht="17.25" customHeight="1">
      <c r="Q50" s="3"/>
      <c r="R50" s="4"/>
    </row>
    <row r="51" ht="17.25" customHeight="1">
      <c r="Q51" s="3"/>
      <c r="R51" s="4"/>
    </row>
    <row r="52" ht="17.25" customHeight="1">
      <c r="Q52" s="3"/>
      <c r="R52" s="4"/>
    </row>
    <row r="53" ht="17.25" customHeight="1">
      <c r="Q53" s="3"/>
      <c r="R53" s="4"/>
    </row>
    <row r="54" ht="17.25" customHeight="1">
      <c r="Q54" s="3"/>
      <c r="R54" s="4"/>
    </row>
    <row r="55" ht="17.25" customHeight="1">
      <c r="Q55" s="3"/>
      <c r="R55" s="4"/>
    </row>
    <row r="56" ht="17.25" customHeight="1">
      <c r="Q56" s="3"/>
      <c r="R56" s="4"/>
    </row>
    <row r="57" ht="17.25" customHeight="1">
      <c r="Q57" s="3"/>
      <c r="R57" s="4"/>
    </row>
    <row r="58" ht="17.25" customHeight="1">
      <c r="Q58" s="3"/>
      <c r="R58" s="4"/>
    </row>
    <row r="59" ht="17.25" customHeight="1">
      <c r="Q59" s="3"/>
      <c r="R59" s="4"/>
    </row>
    <row r="60" ht="17.25" customHeight="1">
      <c r="Q60" s="3"/>
      <c r="R60" s="4"/>
    </row>
    <row r="61" ht="17.25" customHeight="1">
      <c r="Q61" s="3"/>
      <c r="R61" s="4"/>
    </row>
    <row r="62" ht="17.25" customHeight="1">
      <c r="Q62" s="3"/>
      <c r="R62" s="4"/>
    </row>
    <row r="63" ht="17.25" customHeight="1">
      <c r="Q63" s="3"/>
      <c r="R63" s="4"/>
    </row>
    <row r="64" ht="17.25" customHeight="1">
      <c r="Q64" s="3"/>
      <c r="R64" s="4"/>
    </row>
    <row r="65" ht="17.25" customHeight="1">
      <c r="Q65" s="3"/>
      <c r="R65" s="4"/>
    </row>
    <row r="66" ht="17.25" customHeight="1">
      <c r="Q66" s="3"/>
      <c r="R66" s="4"/>
    </row>
    <row r="67" ht="17.25" customHeight="1">
      <c r="Q67" s="3"/>
      <c r="R67" s="4"/>
    </row>
    <row r="68" ht="17.25" customHeight="1">
      <c r="Q68" s="3"/>
      <c r="R68" s="4"/>
    </row>
    <row r="69" ht="17.25" customHeight="1">
      <c r="Q69" s="3"/>
      <c r="R69" s="4"/>
    </row>
    <row r="70" ht="17.25" customHeight="1">
      <c r="Q70" s="3"/>
      <c r="R70" s="4"/>
    </row>
    <row r="71" ht="17.25" customHeight="1">
      <c r="Q71" s="3"/>
      <c r="R71" s="4"/>
    </row>
    <row r="72" ht="17.25" customHeight="1">
      <c r="Q72" s="3"/>
      <c r="R72" s="4"/>
    </row>
    <row r="73" ht="17.25" customHeight="1">
      <c r="Q73" s="3"/>
      <c r="R73" s="4"/>
    </row>
    <row r="74" ht="17.25" customHeight="1">
      <c r="Q74" s="3"/>
      <c r="R74" s="4"/>
    </row>
    <row r="75" ht="17.25" customHeight="1">
      <c r="Q75" s="3"/>
      <c r="R75" s="4"/>
    </row>
    <row r="76" ht="17.25" customHeight="1">
      <c r="Q76" s="3"/>
      <c r="R76" s="4"/>
    </row>
    <row r="77" ht="17.25" customHeight="1">
      <c r="Q77" s="3"/>
      <c r="R77" s="4"/>
    </row>
    <row r="78" ht="17.25" customHeight="1">
      <c r="Q78" s="3"/>
      <c r="R78" s="4"/>
    </row>
    <row r="79" ht="17.25" customHeight="1">
      <c r="Q79" s="3"/>
      <c r="R79" s="4"/>
    </row>
    <row r="80" ht="17.25" customHeight="1">
      <c r="Q80" s="3"/>
      <c r="R80" s="4"/>
    </row>
    <row r="81" ht="17.25" customHeight="1">
      <c r="Q81" s="3"/>
      <c r="R81" s="4"/>
    </row>
    <row r="82" ht="17.25" customHeight="1">
      <c r="Q82" s="3"/>
      <c r="R82" s="4"/>
    </row>
    <row r="83" ht="17.25" customHeight="1">
      <c r="Q83" s="3"/>
      <c r="R83" s="4"/>
    </row>
    <row r="84" ht="17.25" customHeight="1">
      <c r="Q84" s="3"/>
      <c r="R84" s="4"/>
    </row>
    <row r="85" ht="17.25" customHeight="1">
      <c r="Q85" s="3"/>
      <c r="R85" s="4"/>
    </row>
    <row r="86" ht="17.25" customHeight="1">
      <c r="Q86" s="3"/>
      <c r="R86" s="4"/>
    </row>
    <row r="87" ht="17.25" customHeight="1">
      <c r="Q87" s="3"/>
      <c r="R87" s="4"/>
    </row>
    <row r="88" ht="17.25" customHeight="1">
      <c r="Q88" s="3"/>
      <c r="R88" s="4"/>
    </row>
    <row r="89" ht="17.25" customHeight="1">
      <c r="Q89" s="3"/>
      <c r="R89" s="4"/>
    </row>
    <row r="90" ht="17.25" customHeight="1">
      <c r="Q90" s="3"/>
      <c r="R90" s="4"/>
    </row>
    <row r="91" ht="17.25" customHeight="1">
      <c r="Q91" s="3"/>
      <c r="R91" s="4"/>
    </row>
    <row r="92" ht="17.25" customHeight="1">
      <c r="Q92" s="3"/>
      <c r="R92" s="4"/>
    </row>
    <row r="93" ht="17.25" customHeight="1">
      <c r="Q93" s="3"/>
      <c r="R93" s="4"/>
    </row>
    <row r="94" ht="17.25" customHeight="1">
      <c r="Q94" s="3"/>
      <c r="R94" s="4"/>
    </row>
    <row r="95" ht="17.25" customHeight="1">
      <c r="Q95" s="3"/>
      <c r="R95" s="4"/>
    </row>
    <row r="96" ht="17.25" customHeight="1">
      <c r="Q96" s="3"/>
      <c r="R96" s="4"/>
    </row>
    <row r="97" ht="17.25" customHeight="1">
      <c r="Q97" s="3"/>
      <c r="R97" s="4"/>
    </row>
    <row r="98" ht="17.25" customHeight="1">
      <c r="Q98" s="3"/>
      <c r="R98" s="4"/>
    </row>
    <row r="99" ht="17.25" customHeight="1">
      <c r="Q99" s="3"/>
      <c r="R99" s="4"/>
    </row>
    <row r="100" ht="17.25" customHeight="1">
      <c r="Q100" s="3"/>
      <c r="R100" s="4"/>
    </row>
    <row r="101" ht="17.25" customHeight="1">
      <c r="Q101" s="3"/>
      <c r="R101" s="4"/>
    </row>
    <row r="102" ht="17.25" customHeight="1">
      <c r="Q102" s="3"/>
      <c r="R102" s="4"/>
    </row>
    <row r="103" ht="17.25" customHeight="1">
      <c r="Q103" s="3"/>
      <c r="R103" s="4"/>
    </row>
    <row r="104" ht="17.25" customHeight="1">
      <c r="Q104" s="3"/>
      <c r="R104" s="4"/>
    </row>
    <row r="105" ht="17.25" customHeight="1">
      <c r="Q105" s="3"/>
      <c r="R105" s="4"/>
    </row>
    <row r="106" ht="17.25" customHeight="1">
      <c r="Q106" s="3"/>
      <c r="R106" s="4"/>
    </row>
    <row r="107" ht="17.25" customHeight="1">
      <c r="Q107" s="3"/>
      <c r="R107" s="4"/>
    </row>
    <row r="108" ht="17.25" customHeight="1">
      <c r="Q108" s="3"/>
      <c r="R108" s="4"/>
    </row>
    <row r="109" ht="17.25" customHeight="1">
      <c r="Q109" s="3"/>
      <c r="R109" s="4"/>
    </row>
    <row r="110" ht="17.25" customHeight="1">
      <c r="Q110" s="3"/>
      <c r="R110" s="4"/>
    </row>
    <row r="111" ht="17.25" customHeight="1">
      <c r="Q111" s="3"/>
      <c r="R111" s="4"/>
    </row>
    <row r="112" ht="17.25" customHeight="1">
      <c r="Q112" s="3"/>
      <c r="R112" s="4"/>
    </row>
    <row r="113" ht="17.25" customHeight="1">
      <c r="Q113" s="3"/>
      <c r="R113" s="4"/>
    </row>
    <row r="114" ht="17.25" customHeight="1">
      <c r="Q114" s="3"/>
      <c r="R114" s="4"/>
    </row>
    <row r="115" ht="17.25" customHeight="1">
      <c r="Q115" s="3"/>
      <c r="R115" s="4"/>
    </row>
    <row r="116" ht="17.25" customHeight="1">
      <c r="Q116" s="3"/>
      <c r="R116" s="4"/>
    </row>
    <row r="117" ht="17.25" customHeight="1">
      <c r="Q117" s="3"/>
      <c r="R117" s="4"/>
    </row>
    <row r="118" ht="17.25" customHeight="1">
      <c r="Q118" s="3"/>
      <c r="R118" s="4"/>
    </row>
    <row r="119" ht="17.25" customHeight="1">
      <c r="Q119" s="3"/>
      <c r="R119" s="4"/>
    </row>
    <row r="120" ht="17.25" customHeight="1">
      <c r="Q120" s="3"/>
      <c r="R120" s="4"/>
    </row>
    <row r="121" ht="17.25" customHeight="1">
      <c r="Q121" s="3"/>
      <c r="R121" s="4"/>
    </row>
    <row r="122" ht="17.25" customHeight="1">
      <c r="Q122" s="3"/>
      <c r="R122" s="4"/>
    </row>
    <row r="123" ht="17.25" customHeight="1">
      <c r="Q123" s="3"/>
      <c r="R123" s="4"/>
    </row>
    <row r="124" ht="17.25" customHeight="1">
      <c r="Q124" s="3"/>
      <c r="R124" s="4"/>
    </row>
    <row r="125" ht="17.25" customHeight="1">
      <c r="Q125" s="3"/>
      <c r="R125" s="4"/>
    </row>
    <row r="126" ht="17.25" customHeight="1">
      <c r="Q126" s="3"/>
      <c r="R126" s="4"/>
    </row>
    <row r="127" ht="17.25" customHeight="1">
      <c r="Q127" s="3"/>
      <c r="R127" s="4"/>
    </row>
    <row r="128" ht="17.25" customHeight="1">
      <c r="Q128" s="3"/>
      <c r="R128" s="4"/>
    </row>
    <row r="129" ht="17.25" customHeight="1">
      <c r="Q129" s="3"/>
      <c r="R129" s="4"/>
    </row>
    <row r="130" ht="17.25" customHeight="1">
      <c r="Q130" s="3"/>
      <c r="R130" s="4"/>
    </row>
    <row r="131" ht="17.25" customHeight="1">
      <c r="Q131" s="3"/>
      <c r="R131" s="4"/>
    </row>
    <row r="132" ht="17.25" customHeight="1">
      <c r="Q132" s="3"/>
      <c r="R132" s="4"/>
    </row>
    <row r="133" ht="17.25" customHeight="1">
      <c r="Q133" s="3"/>
      <c r="R133" s="4"/>
    </row>
    <row r="134" ht="17.25" customHeight="1">
      <c r="Q134" s="3"/>
      <c r="R134" s="4"/>
    </row>
    <row r="135" ht="17.25" customHeight="1">
      <c r="Q135" s="3"/>
      <c r="R135" s="4"/>
    </row>
    <row r="136" ht="17.25" customHeight="1">
      <c r="Q136" s="3"/>
      <c r="R136" s="4"/>
    </row>
    <row r="137" ht="17.25" customHeight="1">
      <c r="Q137" s="3"/>
      <c r="R137" s="4"/>
    </row>
    <row r="138" ht="17.25" customHeight="1">
      <c r="Q138" s="3"/>
      <c r="R138" s="4"/>
    </row>
    <row r="139" ht="17.25" customHeight="1">
      <c r="Q139" s="3"/>
      <c r="R139" s="4"/>
    </row>
    <row r="140" ht="17.25" customHeight="1">
      <c r="Q140" s="3"/>
      <c r="R140" s="4"/>
    </row>
    <row r="141" ht="17.25" customHeight="1">
      <c r="Q141" s="3"/>
      <c r="R141" s="4"/>
    </row>
    <row r="142" ht="17.25" customHeight="1">
      <c r="Q142" s="3"/>
      <c r="R142" s="4"/>
    </row>
    <row r="143" ht="17.25" customHeight="1">
      <c r="Q143" s="3"/>
      <c r="R143" s="4"/>
    </row>
    <row r="144" ht="17.25" customHeight="1">
      <c r="Q144" s="3"/>
      <c r="R144" s="4"/>
    </row>
    <row r="145" ht="17.25" customHeight="1">
      <c r="Q145" s="3"/>
      <c r="R145" s="4"/>
    </row>
    <row r="146" ht="17.25" customHeight="1">
      <c r="Q146" s="3"/>
      <c r="R146" s="4"/>
    </row>
    <row r="147" ht="17.25" customHeight="1">
      <c r="Q147" s="3"/>
      <c r="R147" s="4"/>
    </row>
    <row r="148" ht="17.25" customHeight="1">
      <c r="Q148" s="3"/>
      <c r="R148" s="4"/>
    </row>
    <row r="149" ht="17.25" customHeight="1">
      <c r="Q149" s="3"/>
      <c r="R149" s="4"/>
    </row>
    <row r="150" ht="17.25" customHeight="1">
      <c r="Q150" s="3"/>
      <c r="R150" s="4"/>
    </row>
    <row r="151" ht="17.25" customHeight="1">
      <c r="Q151" s="3"/>
      <c r="R151" s="4"/>
    </row>
    <row r="152" ht="17.25" customHeight="1">
      <c r="Q152" s="3"/>
      <c r="R152" s="4"/>
    </row>
    <row r="153" ht="17.25" customHeight="1">
      <c r="Q153" s="3"/>
      <c r="R153" s="4"/>
    </row>
    <row r="154" ht="17.25" customHeight="1">
      <c r="Q154" s="3"/>
      <c r="R154" s="4"/>
    </row>
    <row r="155" ht="17.25" customHeight="1">
      <c r="Q155" s="3"/>
      <c r="R155" s="4"/>
    </row>
    <row r="156" ht="17.25" customHeight="1">
      <c r="Q156" s="3"/>
      <c r="R156" s="4"/>
    </row>
    <row r="157" ht="17.25" customHeight="1">
      <c r="Q157" s="3"/>
      <c r="R157" s="4"/>
    </row>
    <row r="158" ht="17.25" customHeight="1">
      <c r="Q158" s="3"/>
      <c r="R158" s="4"/>
    </row>
    <row r="159" ht="17.25" customHeight="1">
      <c r="Q159" s="3"/>
      <c r="R159" s="4"/>
    </row>
    <row r="160" ht="17.25" customHeight="1">
      <c r="Q160" s="3"/>
      <c r="R160" s="4"/>
    </row>
    <row r="161" ht="17.25" customHeight="1">
      <c r="Q161" s="3"/>
      <c r="R161" s="4"/>
    </row>
    <row r="162" ht="17.25" customHeight="1">
      <c r="Q162" s="3"/>
      <c r="R162" s="4"/>
    </row>
    <row r="163" ht="17.25" customHeight="1">
      <c r="Q163" s="3"/>
      <c r="R163" s="4"/>
    </row>
    <row r="164" ht="17.25" customHeight="1">
      <c r="Q164" s="3"/>
      <c r="R164" s="4"/>
    </row>
    <row r="165" ht="17.25" customHeight="1">
      <c r="Q165" s="3"/>
      <c r="R165" s="4"/>
    </row>
    <row r="166" ht="17.25" customHeight="1">
      <c r="Q166" s="3"/>
      <c r="R166" s="4"/>
    </row>
    <row r="167" ht="17.25" customHeight="1">
      <c r="Q167" s="3"/>
      <c r="R167" s="4"/>
    </row>
    <row r="168" ht="17.25" customHeight="1">
      <c r="Q168" s="3"/>
      <c r="R168" s="4"/>
    </row>
    <row r="169" ht="17.25" customHeight="1">
      <c r="Q169" s="3"/>
      <c r="R169" s="4"/>
    </row>
    <row r="170" ht="17.25" customHeight="1">
      <c r="Q170" s="3"/>
      <c r="R170" s="4"/>
    </row>
    <row r="171" ht="17.25" customHeight="1">
      <c r="Q171" s="3"/>
      <c r="R171" s="4"/>
    </row>
    <row r="172" ht="17.25" customHeight="1">
      <c r="Q172" s="3"/>
      <c r="R172" s="4"/>
    </row>
    <row r="173" ht="17.25" customHeight="1">
      <c r="Q173" s="3"/>
      <c r="R173" s="4"/>
    </row>
    <row r="174" ht="17.25" customHeight="1">
      <c r="Q174" s="3"/>
      <c r="R174" s="4"/>
    </row>
    <row r="175" ht="17.25" customHeight="1">
      <c r="Q175" s="3"/>
      <c r="R175" s="4"/>
    </row>
    <row r="176" ht="17.25" customHeight="1">
      <c r="Q176" s="3"/>
      <c r="R176" s="4"/>
    </row>
    <row r="177" ht="17.25" customHeight="1">
      <c r="Q177" s="3"/>
      <c r="R177" s="4"/>
    </row>
    <row r="178" ht="17.25" customHeight="1">
      <c r="Q178" s="3"/>
      <c r="R178" s="4"/>
    </row>
    <row r="179" ht="17.25" customHeight="1">
      <c r="Q179" s="3"/>
      <c r="R179" s="4"/>
    </row>
    <row r="180" ht="17.25" customHeight="1">
      <c r="Q180" s="3"/>
      <c r="R180" s="4"/>
    </row>
    <row r="181" ht="17.25" customHeight="1">
      <c r="Q181" s="3"/>
      <c r="R181" s="4"/>
    </row>
    <row r="182" ht="17.25" customHeight="1">
      <c r="Q182" s="3"/>
      <c r="R182" s="4"/>
    </row>
    <row r="183" ht="17.25" customHeight="1">
      <c r="Q183" s="3"/>
      <c r="R183" s="4"/>
    </row>
    <row r="184" ht="17.25" customHeight="1">
      <c r="Q184" s="3"/>
      <c r="R184" s="4"/>
    </row>
    <row r="185" ht="17.25" customHeight="1">
      <c r="Q185" s="3"/>
      <c r="R185" s="4"/>
    </row>
    <row r="186" ht="17.25" customHeight="1">
      <c r="Q186" s="3"/>
      <c r="R186" s="4"/>
    </row>
    <row r="187" ht="17.25" customHeight="1">
      <c r="Q187" s="3"/>
      <c r="R187" s="4"/>
    </row>
    <row r="188" ht="17.25" customHeight="1">
      <c r="Q188" s="3"/>
      <c r="R188" s="4"/>
    </row>
    <row r="189" ht="17.25" customHeight="1">
      <c r="Q189" s="3"/>
      <c r="R189" s="4"/>
    </row>
    <row r="190" ht="17.25" customHeight="1">
      <c r="Q190" s="3"/>
      <c r="R190" s="4"/>
    </row>
    <row r="191" ht="17.25" customHeight="1">
      <c r="Q191" s="3"/>
      <c r="R191" s="4"/>
    </row>
    <row r="192" ht="17.25" customHeight="1">
      <c r="Q192" s="3"/>
      <c r="R192" s="4"/>
    </row>
    <row r="193" ht="17.25" customHeight="1">
      <c r="Q193" s="3"/>
      <c r="R193" s="4"/>
    </row>
    <row r="194" ht="17.25" customHeight="1">
      <c r="Q194" s="3"/>
      <c r="R194" s="4"/>
    </row>
    <row r="195" ht="17.25" customHeight="1">
      <c r="Q195" s="3"/>
      <c r="R195" s="4"/>
    </row>
    <row r="196" ht="17.25" customHeight="1">
      <c r="Q196" s="3"/>
      <c r="R196" s="4"/>
    </row>
    <row r="197" ht="17.25" customHeight="1">
      <c r="Q197" s="3"/>
      <c r="R197" s="4"/>
    </row>
    <row r="198" ht="17.25" customHeight="1">
      <c r="Q198" s="3"/>
      <c r="R198" s="4"/>
    </row>
    <row r="199" ht="17.25" customHeight="1">
      <c r="Q199" s="3"/>
      <c r="R199" s="4"/>
    </row>
    <row r="200" ht="17.25" customHeight="1">
      <c r="Q200" s="3"/>
      <c r="R200" s="4"/>
    </row>
    <row r="201" ht="17.25" customHeight="1">
      <c r="Q201" s="3"/>
      <c r="R201" s="4"/>
    </row>
    <row r="202" ht="17.25" customHeight="1">
      <c r="Q202" s="3"/>
      <c r="R202" s="4"/>
    </row>
    <row r="203" ht="17.25" customHeight="1">
      <c r="Q203" s="3"/>
      <c r="R203" s="4"/>
    </row>
    <row r="204" ht="17.25" customHeight="1">
      <c r="Q204" s="3"/>
      <c r="R204" s="4"/>
    </row>
    <row r="205" ht="17.25" customHeight="1">
      <c r="Q205" s="3"/>
      <c r="R205" s="4"/>
    </row>
    <row r="206" ht="17.25" customHeight="1">
      <c r="Q206" s="3"/>
      <c r="R206" s="4"/>
    </row>
    <row r="207" ht="17.25" customHeight="1">
      <c r="Q207" s="3"/>
      <c r="R207" s="4"/>
    </row>
    <row r="208" ht="17.25" customHeight="1">
      <c r="Q208" s="3"/>
      <c r="R208" s="4"/>
    </row>
    <row r="209" ht="17.25" customHeight="1">
      <c r="Q209" s="3"/>
      <c r="R209" s="4"/>
    </row>
    <row r="210" ht="17.25" customHeight="1">
      <c r="Q210" s="3"/>
      <c r="R210" s="4"/>
    </row>
    <row r="211" ht="17.25" customHeight="1">
      <c r="Q211" s="3"/>
      <c r="R211" s="4"/>
    </row>
    <row r="212" ht="17.25" customHeight="1">
      <c r="Q212" s="3"/>
      <c r="R212" s="4"/>
    </row>
    <row r="213" ht="17.25" customHeight="1">
      <c r="Q213" s="3"/>
      <c r="R213" s="4"/>
    </row>
    <row r="214" ht="17.25" customHeight="1">
      <c r="Q214" s="3"/>
      <c r="R214" s="4"/>
    </row>
    <row r="215" ht="17.25" customHeight="1">
      <c r="Q215" s="3"/>
      <c r="R215" s="4"/>
    </row>
    <row r="216" ht="17.25" customHeight="1">
      <c r="Q216" s="3"/>
      <c r="R216" s="4"/>
    </row>
    <row r="217" ht="17.25" customHeight="1">
      <c r="Q217" s="3"/>
      <c r="R217" s="4"/>
    </row>
    <row r="218" ht="17.25" customHeight="1">
      <c r="Q218" s="3"/>
      <c r="R218" s="4"/>
    </row>
    <row r="219" ht="17.25" customHeight="1">
      <c r="Q219" s="3"/>
      <c r="R219" s="4"/>
    </row>
    <row r="220" ht="17.25" customHeight="1">
      <c r="Q220" s="3"/>
      <c r="R220" s="4"/>
    </row>
    <row r="221" ht="17.25" customHeight="1">
      <c r="Q221" s="3"/>
      <c r="R221" s="4"/>
    </row>
    <row r="222" ht="17.25" customHeight="1">
      <c r="Q222" s="3"/>
      <c r="R222" s="4"/>
    </row>
    <row r="223" ht="17.25" customHeight="1">
      <c r="Q223" s="3"/>
      <c r="R223" s="4"/>
    </row>
    <row r="224" ht="17.25" customHeight="1">
      <c r="Q224" s="3"/>
      <c r="R224" s="4"/>
    </row>
    <row r="225" ht="17.25" customHeight="1">
      <c r="Q225" s="3"/>
      <c r="R225" s="4"/>
    </row>
    <row r="226" ht="17.25" customHeight="1">
      <c r="Q226" s="3"/>
      <c r="R226" s="4"/>
    </row>
    <row r="227" ht="17.25" customHeight="1">
      <c r="Q227" s="3"/>
      <c r="R227" s="4"/>
    </row>
    <row r="228" ht="17.25" customHeight="1">
      <c r="Q228" s="3"/>
      <c r="R228" s="4"/>
    </row>
    <row r="229" ht="17.25" customHeight="1">
      <c r="Q229" s="3"/>
      <c r="R229" s="4"/>
    </row>
    <row r="230" ht="17.25" customHeight="1">
      <c r="Q230" s="3"/>
      <c r="R230" s="4"/>
    </row>
    <row r="231" ht="17.25" customHeight="1">
      <c r="Q231" s="3"/>
      <c r="R231" s="4"/>
    </row>
    <row r="232" ht="17.25" customHeight="1">
      <c r="Q232" s="3"/>
      <c r="R232" s="4"/>
    </row>
    <row r="233" ht="17.25" customHeight="1">
      <c r="Q233" s="3"/>
      <c r="R233" s="4"/>
    </row>
    <row r="234" ht="17.25" customHeight="1">
      <c r="Q234" s="3"/>
      <c r="R234" s="4"/>
    </row>
    <row r="235" ht="17.25" customHeight="1">
      <c r="Q235" s="3"/>
      <c r="R235" s="4"/>
    </row>
    <row r="236" ht="17.25" customHeight="1">
      <c r="Q236" s="3"/>
      <c r="R236" s="4"/>
    </row>
    <row r="237" ht="17.25" customHeight="1">
      <c r="Q237" s="3"/>
      <c r="R237" s="4"/>
    </row>
    <row r="238" ht="17.25" customHeight="1">
      <c r="Q238" s="3"/>
      <c r="R238" s="4"/>
    </row>
    <row r="239" ht="17.25" customHeight="1">
      <c r="Q239" s="3"/>
      <c r="R239" s="4"/>
    </row>
    <row r="240" ht="17.25" customHeight="1">
      <c r="Q240" s="3"/>
      <c r="R240" s="4"/>
    </row>
    <row r="241" ht="17.25" customHeight="1">
      <c r="Q241" s="3"/>
      <c r="R241" s="4"/>
    </row>
    <row r="242" ht="17.25" customHeight="1">
      <c r="Q242" s="3"/>
      <c r="R242" s="4"/>
    </row>
    <row r="243" ht="17.25" customHeight="1">
      <c r="Q243" s="3"/>
      <c r="R243" s="4"/>
    </row>
    <row r="244" ht="17.25" customHeight="1">
      <c r="Q244" s="3"/>
      <c r="R244" s="4"/>
    </row>
    <row r="245" ht="17.25" customHeight="1">
      <c r="Q245" s="3"/>
      <c r="R245" s="4"/>
    </row>
    <row r="246" ht="17.25" customHeight="1">
      <c r="Q246" s="3"/>
      <c r="R246" s="4"/>
    </row>
    <row r="247" ht="17.25" customHeight="1">
      <c r="Q247" s="3"/>
      <c r="R247" s="4"/>
    </row>
    <row r="248" ht="17.25" customHeight="1">
      <c r="Q248" s="3"/>
      <c r="R248" s="4"/>
    </row>
    <row r="249" ht="17.25" customHeight="1">
      <c r="Q249" s="3"/>
      <c r="R249" s="4"/>
    </row>
    <row r="250" ht="17.25" customHeight="1">
      <c r="Q250" s="3"/>
      <c r="R250" s="4"/>
    </row>
    <row r="251" ht="17.25" customHeight="1">
      <c r="Q251" s="3"/>
      <c r="R251" s="4"/>
    </row>
    <row r="252" ht="17.25" customHeight="1">
      <c r="Q252" s="3"/>
      <c r="R252" s="4"/>
    </row>
    <row r="253" ht="17.25" customHeight="1">
      <c r="Q253" s="3"/>
      <c r="R253" s="4"/>
    </row>
    <row r="254" ht="17.25" customHeight="1">
      <c r="Q254" s="3"/>
      <c r="R254" s="4"/>
    </row>
    <row r="255" ht="17.25" customHeight="1">
      <c r="Q255" s="3"/>
      <c r="R255" s="4"/>
    </row>
    <row r="256" ht="17.25" customHeight="1">
      <c r="Q256" s="3"/>
      <c r="R256" s="4"/>
    </row>
    <row r="257" ht="17.25" customHeight="1">
      <c r="Q257" s="3"/>
      <c r="R257" s="4"/>
    </row>
    <row r="258" ht="17.25" customHeight="1">
      <c r="Q258" s="3"/>
      <c r="R258" s="4"/>
    </row>
    <row r="259" ht="17.25" customHeight="1">
      <c r="Q259" s="3"/>
      <c r="R259" s="4"/>
    </row>
    <row r="260" ht="17.25" customHeight="1">
      <c r="Q260" s="3"/>
      <c r="R260" s="4"/>
    </row>
    <row r="261" ht="17.25" customHeight="1">
      <c r="Q261" s="3"/>
      <c r="R261" s="4"/>
    </row>
    <row r="262" ht="17.25" customHeight="1">
      <c r="Q262" s="3"/>
      <c r="R262" s="4"/>
    </row>
    <row r="263" ht="17.25" customHeight="1">
      <c r="Q263" s="3"/>
      <c r="R263" s="4"/>
    </row>
    <row r="264" ht="17.25" customHeight="1">
      <c r="Q264" s="3"/>
      <c r="R264" s="4"/>
    </row>
    <row r="265" ht="17.25" customHeight="1">
      <c r="Q265" s="3"/>
      <c r="R265" s="4"/>
    </row>
    <row r="266" ht="17.25" customHeight="1">
      <c r="Q266" s="3"/>
      <c r="R266" s="4"/>
    </row>
    <row r="267" ht="17.25" customHeight="1">
      <c r="Q267" s="3"/>
      <c r="R267" s="4"/>
    </row>
    <row r="268" ht="17.25" customHeight="1">
      <c r="Q268" s="3"/>
      <c r="R268" s="4"/>
    </row>
    <row r="269" ht="17.25" customHeight="1">
      <c r="Q269" s="3"/>
      <c r="R269" s="4"/>
    </row>
    <row r="270" ht="17.25" customHeight="1">
      <c r="Q270" s="3"/>
      <c r="R270" s="4"/>
    </row>
    <row r="271" ht="17.25" customHeight="1">
      <c r="Q271" s="3"/>
      <c r="R271" s="4"/>
    </row>
    <row r="272" ht="17.25" customHeight="1">
      <c r="Q272" s="3"/>
      <c r="R272" s="4"/>
    </row>
    <row r="273" ht="17.25" customHeight="1">
      <c r="Q273" s="3"/>
      <c r="R273" s="4"/>
    </row>
    <row r="274" ht="17.25" customHeight="1">
      <c r="Q274" s="3"/>
      <c r="R274" s="4"/>
    </row>
    <row r="275" ht="17.25" customHeight="1">
      <c r="Q275" s="3"/>
      <c r="R275" s="4"/>
    </row>
    <row r="276" ht="17.25" customHeight="1">
      <c r="Q276" s="3"/>
      <c r="R276" s="4"/>
    </row>
    <row r="277" ht="17.25" customHeight="1">
      <c r="Q277" s="3"/>
      <c r="R277" s="4"/>
    </row>
    <row r="278" ht="17.25" customHeight="1">
      <c r="Q278" s="3"/>
      <c r="R278" s="4"/>
    </row>
    <row r="279" ht="17.25" customHeight="1">
      <c r="Q279" s="3"/>
      <c r="R279" s="4"/>
    </row>
    <row r="280" ht="17.25" customHeight="1">
      <c r="Q280" s="3"/>
      <c r="R280" s="4"/>
    </row>
    <row r="281" ht="17.25" customHeight="1">
      <c r="Q281" s="3"/>
      <c r="R281" s="4"/>
    </row>
    <row r="282" ht="17.25" customHeight="1">
      <c r="Q282" s="3"/>
      <c r="R282" s="4"/>
    </row>
    <row r="283" ht="17.25" customHeight="1">
      <c r="Q283" s="3"/>
      <c r="R283" s="4"/>
    </row>
    <row r="284" ht="17.25" customHeight="1">
      <c r="Q284" s="3"/>
      <c r="R284" s="4"/>
    </row>
    <row r="285" ht="17.25" customHeight="1">
      <c r="Q285" s="3"/>
      <c r="R285" s="4"/>
    </row>
    <row r="286" ht="17.25" customHeight="1">
      <c r="Q286" s="3"/>
      <c r="R286" s="4"/>
    </row>
    <row r="287" ht="17.25" customHeight="1">
      <c r="Q287" s="3"/>
      <c r="R287" s="4"/>
    </row>
    <row r="288" ht="17.25" customHeight="1">
      <c r="Q288" s="3"/>
      <c r="R288" s="4"/>
    </row>
    <row r="289" ht="17.25" customHeight="1">
      <c r="Q289" s="3"/>
      <c r="R289" s="4"/>
    </row>
    <row r="290" ht="17.25" customHeight="1">
      <c r="Q290" s="3"/>
      <c r="R290" s="4"/>
    </row>
    <row r="291" ht="17.25" customHeight="1">
      <c r="Q291" s="3"/>
      <c r="R291" s="4"/>
    </row>
    <row r="292" ht="17.25" customHeight="1">
      <c r="Q292" s="3"/>
      <c r="R292" s="4"/>
    </row>
    <row r="293" ht="17.25" customHeight="1">
      <c r="Q293" s="3"/>
      <c r="R293" s="4"/>
    </row>
    <row r="294" ht="17.25" customHeight="1">
      <c r="Q294" s="3"/>
      <c r="R294" s="4"/>
    </row>
    <row r="295" ht="17.25" customHeight="1">
      <c r="Q295" s="3"/>
      <c r="R295" s="4"/>
    </row>
    <row r="296" ht="17.25" customHeight="1">
      <c r="Q296" s="3"/>
      <c r="R296" s="4"/>
    </row>
    <row r="297" ht="17.25" customHeight="1">
      <c r="Q297" s="3"/>
      <c r="R297" s="4"/>
    </row>
    <row r="298" ht="17.25" customHeight="1">
      <c r="Q298" s="3"/>
      <c r="R298" s="4"/>
    </row>
    <row r="299" ht="17.25" customHeight="1">
      <c r="Q299" s="3"/>
      <c r="R299" s="4"/>
    </row>
    <row r="300" ht="17.25" customHeight="1">
      <c r="Q300" s="3"/>
      <c r="R300" s="4"/>
    </row>
    <row r="301" ht="17.25" customHeight="1">
      <c r="Q301" s="3"/>
      <c r="R301" s="4"/>
    </row>
    <row r="302" ht="17.25" customHeight="1">
      <c r="Q302" s="3"/>
      <c r="R302" s="4"/>
    </row>
    <row r="303" ht="17.25" customHeight="1">
      <c r="Q303" s="3"/>
      <c r="R303" s="4"/>
    </row>
    <row r="304" ht="17.25" customHeight="1">
      <c r="Q304" s="3"/>
      <c r="R304" s="4"/>
    </row>
    <row r="305" ht="17.25" customHeight="1">
      <c r="Q305" s="3"/>
      <c r="R305" s="4"/>
    </row>
    <row r="306" ht="17.25" customHeight="1">
      <c r="Q306" s="3"/>
      <c r="R306" s="4"/>
    </row>
    <row r="307" ht="17.25" customHeight="1">
      <c r="Q307" s="3"/>
      <c r="R307" s="4"/>
    </row>
    <row r="308" ht="17.25" customHeight="1">
      <c r="Q308" s="3"/>
      <c r="R308" s="4"/>
    </row>
    <row r="309" ht="17.25" customHeight="1">
      <c r="Q309" s="3"/>
      <c r="R309" s="4"/>
    </row>
    <row r="310" ht="17.25" customHeight="1">
      <c r="Q310" s="3"/>
      <c r="R310" s="4"/>
    </row>
    <row r="311" ht="17.25" customHeight="1">
      <c r="Q311" s="3"/>
      <c r="R311" s="4"/>
    </row>
    <row r="312" ht="17.25" customHeight="1">
      <c r="Q312" s="3"/>
      <c r="R312" s="4"/>
    </row>
    <row r="313" ht="17.25" customHeight="1">
      <c r="Q313" s="3"/>
      <c r="R313" s="4"/>
    </row>
    <row r="314" ht="17.25" customHeight="1">
      <c r="Q314" s="3"/>
      <c r="R314" s="4"/>
    </row>
    <row r="315" ht="17.25" customHeight="1">
      <c r="Q315" s="3"/>
      <c r="R315" s="4"/>
    </row>
    <row r="316" ht="17.25" customHeight="1">
      <c r="Q316" s="3"/>
      <c r="R316" s="4"/>
    </row>
    <row r="317" ht="17.25" customHeight="1">
      <c r="Q317" s="3"/>
      <c r="R317" s="4"/>
    </row>
    <row r="318" ht="17.25" customHeight="1">
      <c r="Q318" s="3"/>
      <c r="R318" s="4"/>
    </row>
    <row r="319" ht="17.25" customHeight="1">
      <c r="Q319" s="3"/>
      <c r="R319" s="4"/>
    </row>
    <row r="320" ht="17.25" customHeight="1">
      <c r="Q320" s="3"/>
      <c r="R320" s="4"/>
    </row>
    <row r="321" ht="17.25" customHeight="1">
      <c r="Q321" s="3"/>
      <c r="R321" s="4"/>
    </row>
    <row r="322" ht="17.25" customHeight="1">
      <c r="Q322" s="3"/>
      <c r="R322" s="4"/>
    </row>
    <row r="323" ht="17.25" customHeight="1">
      <c r="Q323" s="3"/>
      <c r="R323" s="4"/>
    </row>
    <row r="324" ht="17.25" customHeight="1">
      <c r="Q324" s="3"/>
      <c r="R324" s="4"/>
    </row>
    <row r="325" ht="17.25" customHeight="1">
      <c r="Q325" s="3"/>
      <c r="R325" s="4"/>
    </row>
    <row r="326" ht="17.25" customHeight="1">
      <c r="Q326" s="3"/>
      <c r="R326" s="4"/>
    </row>
    <row r="327" ht="17.25" customHeight="1">
      <c r="Q327" s="3"/>
      <c r="R327" s="4"/>
    </row>
    <row r="328" ht="17.25" customHeight="1">
      <c r="Q328" s="3"/>
      <c r="R328" s="4"/>
    </row>
    <row r="329" ht="17.25" customHeight="1">
      <c r="Q329" s="3"/>
      <c r="R329" s="4"/>
    </row>
    <row r="330" ht="17.25" customHeight="1">
      <c r="Q330" s="3"/>
      <c r="R330" s="4"/>
    </row>
    <row r="331" ht="17.25" customHeight="1">
      <c r="Q331" s="3"/>
      <c r="R331" s="4"/>
    </row>
    <row r="332" ht="17.25" customHeight="1">
      <c r="Q332" s="3"/>
      <c r="R332" s="4"/>
    </row>
    <row r="333" ht="17.25" customHeight="1">
      <c r="Q333" s="3"/>
      <c r="R333" s="4"/>
    </row>
    <row r="334" ht="17.25" customHeight="1">
      <c r="Q334" s="3"/>
      <c r="R334" s="4"/>
    </row>
    <row r="335" ht="17.25" customHeight="1">
      <c r="Q335" s="3"/>
      <c r="R335" s="4"/>
    </row>
    <row r="336" ht="17.25" customHeight="1">
      <c r="Q336" s="3"/>
      <c r="R336" s="4"/>
    </row>
    <row r="337" ht="17.25" customHeight="1">
      <c r="Q337" s="3"/>
      <c r="R337" s="4"/>
    </row>
    <row r="338" ht="17.25" customHeight="1">
      <c r="Q338" s="3"/>
      <c r="R338" s="4"/>
    </row>
    <row r="339" ht="17.25" customHeight="1">
      <c r="Q339" s="3"/>
      <c r="R339" s="4"/>
    </row>
    <row r="340" ht="17.25" customHeight="1">
      <c r="Q340" s="3"/>
      <c r="R340" s="4"/>
    </row>
    <row r="341" ht="17.25" customHeight="1">
      <c r="Q341" s="3"/>
      <c r="R341" s="4"/>
    </row>
    <row r="342" ht="17.25" customHeight="1">
      <c r="Q342" s="3"/>
      <c r="R342" s="4"/>
    </row>
    <row r="343" ht="17.25" customHeight="1">
      <c r="Q343" s="3"/>
      <c r="R343" s="4"/>
    </row>
    <row r="344" ht="17.25" customHeight="1">
      <c r="Q344" s="3"/>
      <c r="R344" s="4"/>
    </row>
    <row r="345" ht="17.25" customHeight="1">
      <c r="Q345" s="3"/>
      <c r="R345" s="4"/>
    </row>
    <row r="346" ht="17.25" customHeight="1">
      <c r="Q346" s="3"/>
      <c r="R346" s="4"/>
    </row>
    <row r="347" ht="17.25" customHeight="1">
      <c r="Q347" s="3"/>
      <c r="R347" s="4"/>
    </row>
    <row r="348" ht="17.25" customHeight="1">
      <c r="Q348" s="3"/>
      <c r="R348" s="4"/>
    </row>
    <row r="349" ht="17.25" customHeight="1">
      <c r="Q349" s="3"/>
      <c r="R349" s="4"/>
    </row>
    <row r="350" ht="17.25" customHeight="1">
      <c r="Q350" s="3"/>
      <c r="R350" s="4"/>
    </row>
    <row r="351" ht="17.25" customHeight="1">
      <c r="Q351" s="3"/>
      <c r="R351" s="4"/>
    </row>
    <row r="352" ht="17.25" customHeight="1">
      <c r="Q352" s="3"/>
      <c r="R352" s="4"/>
    </row>
    <row r="353" ht="17.25" customHeight="1">
      <c r="Q353" s="3"/>
      <c r="R353" s="4"/>
    </row>
    <row r="354" ht="17.25" customHeight="1">
      <c r="Q354" s="3"/>
      <c r="R354" s="4"/>
    </row>
    <row r="355" ht="17.25" customHeight="1">
      <c r="Q355" s="3"/>
      <c r="R355" s="4"/>
    </row>
    <row r="356" ht="17.25" customHeight="1">
      <c r="Q356" s="3"/>
      <c r="R356" s="4"/>
    </row>
    <row r="357" ht="17.25" customHeight="1">
      <c r="Q357" s="3"/>
      <c r="R357" s="4"/>
    </row>
    <row r="358" ht="17.25" customHeight="1">
      <c r="Q358" s="3"/>
      <c r="R358" s="4"/>
    </row>
    <row r="359" ht="17.25" customHeight="1">
      <c r="Q359" s="3"/>
      <c r="R359" s="4"/>
    </row>
    <row r="360" ht="17.25" customHeight="1">
      <c r="Q360" s="3"/>
      <c r="R360" s="4"/>
    </row>
    <row r="361" ht="17.25" customHeight="1">
      <c r="Q361" s="3"/>
      <c r="R361" s="4"/>
    </row>
    <row r="362" ht="17.25" customHeight="1">
      <c r="Q362" s="3"/>
      <c r="R362" s="4"/>
    </row>
    <row r="363" ht="17.25" customHeight="1">
      <c r="Q363" s="3"/>
      <c r="R363" s="4"/>
    </row>
    <row r="364" ht="17.25" customHeight="1">
      <c r="Q364" s="3"/>
      <c r="R364" s="4"/>
    </row>
    <row r="365" ht="17.25" customHeight="1">
      <c r="Q365" s="3"/>
      <c r="R365" s="4"/>
    </row>
    <row r="366" ht="17.25" customHeight="1">
      <c r="Q366" s="3"/>
      <c r="R366" s="4"/>
    </row>
    <row r="367" ht="17.25" customHeight="1">
      <c r="Q367" s="3"/>
      <c r="R367" s="4"/>
    </row>
    <row r="368" ht="17.25" customHeight="1">
      <c r="Q368" s="3"/>
      <c r="R368" s="4"/>
    </row>
    <row r="369" ht="17.25" customHeight="1">
      <c r="Q369" s="3"/>
      <c r="R369" s="4"/>
    </row>
    <row r="370" ht="17.25" customHeight="1">
      <c r="Q370" s="3"/>
      <c r="R370" s="4"/>
    </row>
    <row r="371" ht="17.25" customHeight="1">
      <c r="Q371" s="3"/>
      <c r="R371" s="4"/>
    </row>
    <row r="372" ht="17.25" customHeight="1">
      <c r="Q372" s="3"/>
      <c r="R372" s="4"/>
    </row>
    <row r="373" ht="17.25" customHeight="1">
      <c r="Q373" s="3"/>
      <c r="R373" s="4"/>
    </row>
    <row r="374" ht="17.25" customHeight="1">
      <c r="Q374" s="3"/>
      <c r="R374" s="4"/>
    </row>
    <row r="375" ht="17.25" customHeight="1">
      <c r="Q375" s="3"/>
      <c r="R375" s="4"/>
    </row>
    <row r="376" ht="17.25" customHeight="1">
      <c r="Q376" s="3"/>
      <c r="R376" s="4"/>
    </row>
    <row r="377" ht="17.25" customHeight="1">
      <c r="Q377" s="3"/>
      <c r="R377" s="4"/>
    </row>
    <row r="378" ht="17.25" customHeight="1">
      <c r="Q378" s="3"/>
      <c r="R378" s="4"/>
    </row>
    <row r="379" ht="17.25" customHeight="1">
      <c r="Q379" s="3"/>
      <c r="R379" s="4"/>
    </row>
    <row r="380" ht="17.25" customHeight="1">
      <c r="Q380" s="3"/>
      <c r="R380" s="4"/>
    </row>
    <row r="381" ht="17.25" customHeight="1">
      <c r="Q381" s="3"/>
      <c r="R381" s="4"/>
    </row>
    <row r="382" ht="17.25" customHeight="1">
      <c r="Q382" s="3"/>
      <c r="R382" s="4"/>
    </row>
    <row r="383" ht="17.25" customHeight="1">
      <c r="Q383" s="3"/>
      <c r="R383" s="4"/>
    </row>
    <row r="384" ht="17.25" customHeight="1">
      <c r="Q384" s="3"/>
      <c r="R384" s="4"/>
    </row>
    <row r="385" ht="17.25" customHeight="1">
      <c r="Q385" s="3"/>
      <c r="R385" s="4"/>
    </row>
    <row r="386" ht="17.25" customHeight="1">
      <c r="Q386" s="3"/>
      <c r="R386" s="4"/>
    </row>
    <row r="387" ht="17.25" customHeight="1">
      <c r="Q387" s="3"/>
      <c r="R387" s="4"/>
    </row>
    <row r="388" ht="17.25" customHeight="1">
      <c r="Q388" s="3"/>
      <c r="R388" s="4"/>
    </row>
    <row r="389" ht="17.25" customHeight="1">
      <c r="Q389" s="3"/>
      <c r="R389" s="4"/>
    </row>
    <row r="390" ht="17.25" customHeight="1">
      <c r="Q390" s="3"/>
      <c r="R390" s="4"/>
    </row>
    <row r="391" ht="17.25" customHeight="1">
      <c r="Q391" s="3"/>
      <c r="R391" s="4"/>
    </row>
    <row r="392" ht="17.25" customHeight="1">
      <c r="Q392" s="3"/>
      <c r="R392" s="4"/>
    </row>
    <row r="393" ht="17.25" customHeight="1">
      <c r="Q393" s="3"/>
      <c r="R393" s="4"/>
    </row>
    <row r="394" ht="17.25" customHeight="1">
      <c r="Q394" s="3"/>
      <c r="R394" s="4"/>
    </row>
    <row r="395" ht="17.25" customHeight="1">
      <c r="Q395" s="3"/>
      <c r="R395" s="4"/>
    </row>
    <row r="396" ht="17.25" customHeight="1">
      <c r="Q396" s="3"/>
      <c r="R396" s="4"/>
    </row>
    <row r="397" ht="17.25" customHeight="1">
      <c r="Q397" s="3"/>
      <c r="R397" s="4"/>
    </row>
    <row r="398" ht="17.25" customHeight="1">
      <c r="Q398" s="3"/>
      <c r="R398" s="4"/>
    </row>
    <row r="399" ht="17.25" customHeight="1">
      <c r="Q399" s="3"/>
      <c r="R399" s="4"/>
    </row>
    <row r="400" ht="17.25" customHeight="1">
      <c r="Q400" s="3"/>
      <c r="R400" s="4"/>
    </row>
    <row r="401" ht="17.25" customHeight="1">
      <c r="Q401" s="3"/>
      <c r="R401" s="4"/>
    </row>
    <row r="402" ht="17.25" customHeight="1">
      <c r="Q402" s="3"/>
      <c r="R402" s="4"/>
    </row>
    <row r="403" ht="17.25" customHeight="1">
      <c r="Q403" s="3"/>
      <c r="R403" s="4"/>
    </row>
    <row r="404" ht="17.25" customHeight="1">
      <c r="Q404" s="3"/>
      <c r="R404" s="4"/>
    </row>
    <row r="405" ht="17.25" customHeight="1">
      <c r="Q405" s="3"/>
      <c r="R405" s="4"/>
    </row>
    <row r="406" ht="17.25" customHeight="1">
      <c r="Q406" s="3"/>
      <c r="R406" s="4"/>
    </row>
    <row r="407" ht="17.25" customHeight="1">
      <c r="Q407" s="3"/>
      <c r="R407" s="4"/>
    </row>
    <row r="408" ht="17.25" customHeight="1">
      <c r="Q408" s="3"/>
      <c r="R408" s="4"/>
    </row>
    <row r="409" ht="17.25" customHeight="1">
      <c r="Q409" s="3"/>
      <c r="R409" s="4"/>
    </row>
    <row r="410" ht="17.25" customHeight="1">
      <c r="Q410" s="3"/>
      <c r="R410" s="4"/>
    </row>
    <row r="411" ht="17.25" customHeight="1">
      <c r="Q411" s="3"/>
      <c r="R411" s="4"/>
    </row>
    <row r="412" ht="17.25" customHeight="1">
      <c r="Q412" s="3"/>
      <c r="R412" s="4"/>
    </row>
    <row r="413" ht="17.25" customHeight="1">
      <c r="Q413" s="3"/>
      <c r="R413" s="4"/>
    </row>
    <row r="414" ht="17.25" customHeight="1">
      <c r="Q414" s="3"/>
      <c r="R414" s="4"/>
    </row>
    <row r="415" ht="17.25" customHeight="1">
      <c r="Q415" s="3"/>
      <c r="R415" s="4"/>
    </row>
    <row r="416" ht="17.25" customHeight="1">
      <c r="Q416" s="3"/>
      <c r="R416" s="4"/>
    </row>
    <row r="417" ht="17.25" customHeight="1">
      <c r="Q417" s="3"/>
      <c r="R417" s="4"/>
    </row>
    <row r="418" ht="17.25" customHeight="1">
      <c r="Q418" s="3"/>
      <c r="R418" s="4"/>
    </row>
    <row r="419" ht="17.25" customHeight="1">
      <c r="Q419" s="3"/>
      <c r="R419" s="4"/>
    </row>
    <row r="420" ht="17.25" customHeight="1">
      <c r="Q420" s="3"/>
      <c r="R420" s="4"/>
    </row>
    <row r="421" ht="17.25" customHeight="1">
      <c r="Q421" s="3"/>
      <c r="R421" s="4"/>
    </row>
    <row r="422" ht="17.25" customHeight="1">
      <c r="Q422" s="3"/>
      <c r="R422" s="4"/>
    </row>
    <row r="423" ht="17.25" customHeight="1">
      <c r="Q423" s="3"/>
      <c r="R423" s="4"/>
    </row>
    <row r="424" ht="17.25" customHeight="1">
      <c r="Q424" s="3"/>
      <c r="R424" s="4"/>
    </row>
    <row r="425" ht="17.25" customHeight="1">
      <c r="Q425" s="3"/>
      <c r="R425" s="4"/>
    </row>
    <row r="426" ht="17.25" customHeight="1">
      <c r="Q426" s="3"/>
      <c r="R426" s="4"/>
    </row>
    <row r="427" ht="17.25" customHeight="1">
      <c r="Q427" s="3"/>
      <c r="R427" s="4"/>
    </row>
    <row r="428" ht="17.25" customHeight="1">
      <c r="Q428" s="3"/>
      <c r="R428" s="4"/>
    </row>
    <row r="429" ht="17.25" customHeight="1">
      <c r="Q429" s="3"/>
      <c r="R429" s="4"/>
    </row>
    <row r="430" ht="17.25" customHeight="1">
      <c r="Q430" s="3"/>
      <c r="R430" s="4"/>
    </row>
    <row r="431" ht="17.25" customHeight="1">
      <c r="Q431" s="3"/>
      <c r="R431" s="4"/>
    </row>
    <row r="432" ht="17.25" customHeight="1">
      <c r="Q432" s="3"/>
      <c r="R432" s="4"/>
    </row>
    <row r="433" ht="17.25" customHeight="1">
      <c r="Q433" s="3"/>
      <c r="R433" s="4"/>
    </row>
    <row r="434" ht="17.25" customHeight="1">
      <c r="Q434" s="3"/>
      <c r="R434" s="4"/>
    </row>
    <row r="435" ht="17.25" customHeight="1">
      <c r="Q435" s="3"/>
      <c r="R435" s="4"/>
    </row>
    <row r="436" ht="17.25" customHeight="1">
      <c r="Q436" s="3"/>
      <c r="R436" s="4"/>
    </row>
    <row r="437" ht="17.25" customHeight="1">
      <c r="Q437" s="3"/>
      <c r="R437" s="4"/>
    </row>
    <row r="438" ht="17.25" customHeight="1">
      <c r="Q438" s="3"/>
      <c r="R438" s="4"/>
    </row>
    <row r="439" ht="17.25" customHeight="1">
      <c r="Q439" s="3"/>
      <c r="R439" s="4"/>
    </row>
    <row r="440" ht="17.25" customHeight="1">
      <c r="Q440" s="3"/>
      <c r="R440" s="4"/>
    </row>
    <row r="441" ht="17.25" customHeight="1">
      <c r="Q441" s="3"/>
      <c r="R441" s="4"/>
    </row>
    <row r="442" ht="17.25" customHeight="1">
      <c r="Q442" s="3"/>
      <c r="R442" s="4"/>
    </row>
    <row r="443" ht="17.25" customHeight="1">
      <c r="Q443" s="3"/>
      <c r="R443" s="4"/>
    </row>
    <row r="444" ht="17.25" customHeight="1">
      <c r="Q444" s="3"/>
      <c r="R444" s="4"/>
    </row>
    <row r="445" ht="17.25" customHeight="1">
      <c r="Q445" s="3"/>
      <c r="R445" s="4"/>
    </row>
    <row r="446" ht="17.25" customHeight="1">
      <c r="Q446" s="3"/>
      <c r="R446" s="4"/>
    </row>
    <row r="447" ht="17.25" customHeight="1">
      <c r="Q447" s="3"/>
      <c r="R447" s="4"/>
    </row>
    <row r="448" ht="17.25" customHeight="1">
      <c r="Q448" s="3"/>
      <c r="R448" s="4"/>
    </row>
    <row r="449" ht="17.25" customHeight="1">
      <c r="Q449" s="3"/>
      <c r="R449" s="4"/>
    </row>
    <row r="450" ht="17.25" customHeight="1">
      <c r="Q450" s="3"/>
      <c r="R450" s="4"/>
    </row>
    <row r="451" ht="17.25" customHeight="1">
      <c r="Q451" s="3"/>
      <c r="R451" s="4"/>
    </row>
    <row r="452" ht="17.25" customHeight="1">
      <c r="Q452" s="3"/>
      <c r="R452" s="4"/>
    </row>
    <row r="453" ht="17.25" customHeight="1">
      <c r="Q453" s="3"/>
      <c r="R453" s="4"/>
    </row>
    <row r="454" ht="17.25" customHeight="1">
      <c r="Q454" s="3"/>
      <c r="R454" s="4"/>
    </row>
    <row r="455" ht="17.25" customHeight="1">
      <c r="Q455" s="3"/>
      <c r="R455" s="4"/>
    </row>
    <row r="456" ht="17.25" customHeight="1">
      <c r="Q456" s="3"/>
      <c r="R456" s="4"/>
    </row>
    <row r="457" ht="17.25" customHeight="1">
      <c r="Q457" s="3"/>
      <c r="R457" s="4"/>
    </row>
    <row r="458" ht="17.25" customHeight="1">
      <c r="Q458" s="3"/>
      <c r="R458" s="4"/>
    </row>
    <row r="459" ht="17.25" customHeight="1">
      <c r="Q459" s="3"/>
      <c r="R459" s="4"/>
    </row>
    <row r="460" ht="17.25" customHeight="1">
      <c r="Q460" s="3"/>
      <c r="R460" s="4"/>
    </row>
    <row r="461" ht="17.25" customHeight="1">
      <c r="Q461" s="3"/>
      <c r="R461" s="4"/>
    </row>
    <row r="462" ht="17.25" customHeight="1">
      <c r="Q462" s="3"/>
      <c r="R462" s="4"/>
    </row>
    <row r="463" ht="17.25" customHeight="1">
      <c r="Q463" s="3"/>
      <c r="R463" s="4"/>
    </row>
    <row r="464" ht="17.25" customHeight="1">
      <c r="Q464" s="3"/>
      <c r="R464" s="4"/>
    </row>
    <row r="465" ht="17.25" customHeight="1">
      <c r="Q465" s="3"/>
      <c r="R465" s="4"/>
    </row>
    <row r="466" ht="17.25" customHeight="1">
      <c r="Q466" s="3"/>
      <c r="R466" s="4"/>
    </row>
    <row r="467" ht="17.25" customHeight="1">
      <c r="Q467" s="3"/>
      <c r="R467" s="4"/>
    </row>
    <row r="468" ht="17.25" customHeight="1">
      <c r="Q468" s="3"/>
      <c r="R468" s="4"/>
    </row>
    <row r="469" ht="17.25" customHeight="1">
      <c r="Q469" s="3"/>
      <c r="R469" s="4"/>
    </row>
    <row r="470" ht="17.25" customHeight="1">
      <c r="Q470" s="3"/>
      <c r="R470" s="4"/>
    </row>
    <row r="471" ht="17.25" customHeight="1">
      <c r="Q471" s="3"/>
      <c r="R471" s="4"/>
    </row>
    <row r="472" ht="17.25" customHeight="1">
      <c r="Q472" s="3"/>
      <c r="R472" s="4"/>
    </row>
    <row r="473" ht="17.25" customHeight="1">
      <c r="Q473" s="3"/>
      <c r="R473" s="4"/>
    </row>
    <row r="474" ht="17.25" customHeight="1">
      <c r="Q474" s="3"/>
      <c r="R474" s="4"/>
    </row>
    <row r="475" ht="17.25" customHeight="1">
      <c r="Q475" s="3"/>
      <c r="R475" s="4"/>
    </row>
    <row r="476" ht="17.25" customHeight="1">
      <c r="Q476" s="3"/>
      <c r="R476" s="4"/>
    </row>
    <row r="477" ht="17.25" customHeight="1">
      <c r="Q477" s="3"/>
      <c r="R477" s="4"/>
    </row>
    <row r="478" ht="17.25" customHeight="1">
      <c r="Q478" s="3"/>
      <c r="R478" s="4"/>
    </row>
    <row r="479" ht="17.25" customHeight="1">
      <c r="Q479" s="3"/>
      <c r="R479" s="4"/>
    </row>
    <row r="480" ht="17.25" customHeight="1">
      <c r="Q480" s="3"/>
      <c r="R480" s="4"/>
    </row>
    <row r="481" ht="17.25" customHeight="1">
      <c r="Q481" s="3"/>
      <c r="R481" s="4"/>
    </row>
    <row r="482" ht="17.25" customHeight="1">
      <c r="Q482" s="3"/>
      <c r="R482" s="4"/>
    </row>
    <row r="483" ht="17.25" customHeight="1">
      <c r="Q483" s="3"/>
      <c r="R483" s="4"/>
    </row>
    <row r="484" ht="17.25" customHeight="1">
      <c r="Q484" s="3"/>
      <c r="R484" s="4"/>
    </row>
    <row r="485" ht="17.25" customHeight="1">
      <c r="Q485" s="3"/>
      <c r="R485" s="4"/>
    </row>
    <row r="486" ht="17.25" customHeight="1">
      <c r="Q486" s="3"/>
      <c r="R486" s="4"/>
    </row>
    <row r="487" ht="17.25" customHeight="1">
      <c r="Q487" s="3"/>
      <c r="R487" s="4"/>
    </row>
    <row r="488" ht="17.25" customHeight="1">
      <c r="Q488" s="3"/>
      <c r="R488" s="4"/>
    </row>
    <row r="489" ht="17.25" customHeight="1">
      <c r="Q489" s="3"/>
      <c r="R489" s="4"/>
    </row>
    <row r="490" ht="17.25" customHeight="1">
      <c r="Q490" s="3"/>
      <c r="R490" s="4"/>
    </row>
    <row r="491" ht="17.25" customHeight="1">
      <c r="Q491" s="3"/>
      <c r="R491" s="4"/>
    </row>
    <row r="492" ht="17.25" customHeight="1">
      <c r="Q492" s="3"/>
      <c r="R492" s="4"/>
    </row>
    <row r="493" ht="17.25" customHeight="1">
      <c r="Q493" s="3"/>
      <c r="R493" s="4"/>
    </row>
    <row r="494" ht="17.25" customHeight="1">
      <c r="Q494" s="3"/>
      <c r="R494" s="4"/>
    </row>
    <row r="495" ht="17.25" customHeight="1">
      <c r="Q495" s="3"/>
      <c r="R495" s="4"/>
    </row>
    <row r="496" ht="17.25" customHeight="1">
      <c r="Q496" s="3"/>
      <c r="R496" s="4"/>
    </row>
    <row r="497" ht="17.25" customHeight="1">
      <c r="Q497" s="3"/>
      <c r="R497" s="4"/>
    </row>
    <row r="498" ht="17.25" customHeight="1">
      <c r="Q498" s="3"/>
      <c r="R498" s="4"/>
    </row>
    <row r="499" ht="17.25" customHeight="1">
      <c r="Q499" s="3"/>
      <c r="R499" s="4"/>
    </row>
    <row r="500" ht="17.25" customHeight="1">
      <c r="Q500" s="3"/>
      <c r="R500" s="4"/>
    </row>
    <row r="501" ht="17.25" customHeight="1">
      <c r="Q501" s="3"/>
      <c r="R501" s="4"/>
    </row>
    <row r="502" ht="17.25" customHeight="1">
      <c r="Q502" s="3"/>
      <c r="R502" s="4"/>
    </row>
    <row r="503" ht="17.25" customHeight="1">
      <c r="Q503" s="3"/>
      <c r="R503" s="4"/>
    </row>
    <row r="504" ht="17.25" customHeight="1">
      <c r="Q504" s="3"/>
      <c r="R504" s="4"/>
    </row>
    <row r="505" ht="17.25" customHeight="1">
      <c r="Q505" s="3"/>
      <c r="R505" s="4"/>
    </row>
    <row r="506" ht="17.25" customHeight="1">
      <c r="Q506" s="3"/>
      <c r="R506" s="4"/>
    </row>
    <row r="507" ht="17.25" customHeight="1">
      <c r="Q507" s="3"/>
      <c r="R507" s="4"/>
    </row>
    <row r="508" ht="17.25" customHeight="1">
      <c r="Q508" s="3"/>
      <c r="R508" s="4"/>
    </row>
    <row r="509" ht="17.25" customHeight="1">
      <c r="Q509" s="3"/>
      <c r="R509" s="4"/>
    </row>
    <row r="510" ht="17.25" customHeight="1">
      <c r="Q510" s="3"/>
      <c r="R510" s="4"/>
    </row>
    <row r="511" ht="17.25" customHeight="1">
      <c r="Q511" s="3"/>
      <c r="R511" s="4"/>
    </row>
    <row r="512" ht="17.25" customHeight="1">
      <c r="Q512" s="3"/>
      <c r="R512" s="4"/>
    </row>
    <row r="513" ht="17.25" customHeight="1">
      <c r="Q513" s="3"/>
      <c r="R513" s="4"/>
    </row>
    <row r="514" ht="17.25" customHeight="1">
      <c r="Q514" s="3"/>
      <c r="R514" s="4"/>
    </row>
    <row r="515" ht="17.25" customHeight="1">
      <c r="Q515" s="3"/>
      <c r="R515" s="4"/>
    </row>
    <row r="516" ht="17.25" customHeight="1">
      <c r="Q516" s="3"/>
      <c r="R516" s="4"/>
    </row>
    <row r="517" ht="17.25" customHeight="1">
      <c r="Q517" s="3"/>
      <c r="R517" s="4"/>
    </row>
    <row r="518" ht="17.25" customHeight="1">
      <c r="Q518" s="3"/>
      <c r="R518" s="4"/>
    </row>
    <row r="519" ht="17.25" customHeight="1">
      <c r="Q519" s="3"/>
      <c r="R519" s="4"/>
    </row>
    <row r="520" ht="17.25" customHeight="1">
      <c r="Q520" s="3"/>
      <c r="R520" s="4"/>
    </row>
    <row r="521" ht="17.25" customHeight="1">
      <c r="Q521" s="3"/>
      <c r="R521" s="4"/>
    </row>
    <row r="522" ht="17.25" customHeight="1">
      <c r="Q522" s="3"/>
      <c r="R522" s="4"/>
    </row>
    <row r="523" ht="17.25" customHeight="1">
      <c r="Q523" s="3"/>
      <c r="R523" s="4"/>
    </row>
    <row r="524" ht="17.25" customHeight="1">
      <c r="Q524" s="3"/>
      <c r="R524" s="4"/>
    </row>
    <row r="525" ht="17.25" customHeight="1">
      <c r="Q525" s="3"/>
      <c r="R525" s="4"/>
    </row>
    <row r="526" ht="17.25" customHeight="1">
      <c r="Q526" s="3"/>
      <c r="R526" s="4"/>
    </row>
    <row r="527" ht="17.25" customHeight="1">
      <c r="Q527" s="3"/>
      <c r="R527" s="4"/>
    </row>
    <row r="528" ht="17.25" customHeight="1">
      <c r="Q528" s="3"/>
      <c r="R528" s="4"/>
    </row>
    <row r="529" ht="17.25" customHeight="1">
      <c r="Q529" s="3"/>
      <c r="R529" s="4"/>
    </row>
    <row r="530" ht="17.25" customHeight="1">
      <c r="Q530" s="3"/>
      <c r="R530" s="4"/>
    </row>
    <row r="531" ht="17.25" customHeight="1">
      <c r="Q531" s="3"/>
      <c r="R531" s="4"/>
    </row>
    <row r="532" ht="17.25" customHeight="1">
      <c r="Q532" s="3"/>
      <c r="R532" s="4"/>
    </row>
    <row r="533" ht="17.25" customHeight="1">
      <c r="Q533" s="3"/>
      <c r="R533" s="4"/>
    </row>
    <row r="534" ht="17.25" customHeight="1">
      <c r="Q534" s="3"/>
      <c r="R534" s="4"/>
    </row>
    <row r="535" ht="17.25" customHeight="1">
      <c r="Q535" s="3"/>
      <c r="R535" s="4"/>
    </row>
    <row r="536" ht="17.25" customHeight="1">
      <c r="Q536" s="3"/>
      <c r="R536" s="4"/>
    </row>
    <row r="537" ht="17.25" customHeight="1">
      <c r="Q537" s="3"/>
      <c r="R537" s="4"/>
    </row>
    <row r="538" ht="17.25" customHeight="1">
      <c r="Q538" s="3"/>
      <c r="R538" s="4"/>
    </row>
    <row r="539" ht="17.25" customHeight="1">
      <c r="Q539" s="3"/>
      <c r="R539" s="4"/>
    </row>
    <row r="540" ht="17.25" customHeight="1">
      <c r="Q540" s="3"/>
      <c r="R540" s="4"/>
    </row>
    <row r="541" ht="17.25" customHeight="1">
      <c r="Q541" s="3"/>
      <c r="R541" s="4"/>
    </row>
    <row r="542" ht="17.25" customHeight="1">
      <c r="Q542" s="3"/>
      <c r="R542" s="4"/>
    </row>
    <row r="543" ht="17.25" customHeight="1">
      <c r="Q543" s="3"/>
      <c r="R543" s="4"/>
    </row>
    <row r="544" ht="17.25" customHeight="1">
      <c r="Q544" s="3"/>
      <c r="R544" s="4"/>
    </row>
    <row r="545" ht="17.25" customHeight="1">
      <c r="Q545" s="3"/>
      <c r="R545" s="4"/>
    </row>
    <row r="546" ht="17.25" customHeight="1">
      <c r="Q546" s="3"/>
      <c r="R546" s="4"/>
    </row>
    <row r="547" ht="17.25" customHeight="1">
      <c r="Q547" s="3"/>
      <c r="R547" s="4"/>
    </row>
    <row r="548" ht="17.25" customHeight="1">
      <c r="Q548" s="3"/>
      <c r="R548" s="4"/>
    </row>
    <row r="549" ht="17.25" customHeight="1">
      <c r="Q549" s="3"/>
      <c r="R549" s="4"/>
    </row>
    <row r="550" ht="17.25" customHeight="1">
      <c r="Q550" s="3"/>
      <c r="R550" s="4"/>
    </row>
    <row r="551" ht="17.25" customHeight="1">
      <c r="Q551" s="3"/>
      <c r="R551" s="4"/>
    </row>
    <row r="552" ht="17.25" customHeight="1">
      <c r="Q552" s="3"/>
      <c r="R552" s="4"/>
    </row>
    <row r="553" ht="17.25" customHeight="1">
      <c r="Q553" s="3"/>
      <c r="R553" s="4"/>
    </row>
    <row r="554" ht="17.25" customHeight="1">
      <c r="Q554" s="3"/>
      <c r="R554" s="4"/>
    </row>
    <row r="555" ht="17.25" customHeight="1">
      <c r="Q555" s="3"/>
      <c r="R555" s="4"/>
    </row>
    <row r="556" ht="17.25" customHeight="1">
      <c r="Q556" s="3"/>
      <c r="R556" s="4"/>
    </row>
    <row r="557" ht="17.25" customHeight="1">
      <c r="Q557" s="3"/>
      <c r="R557" s="4"/>
    </row>
    <row r="558" ht="17.25" customHeight="1">
      <c r="Q558" s="3"/>
      <c r="R558" s="4"/>
    </row>
    <row r="559" ht="17.25" customHeight="1">
      <c r="Q559" s="3"/>
      <c r="R559" s="4"/>
    </row>
    <row r="560" ht="17.25" customHeight="1">
      <c r="Q560" s="3"/>
      <c r="R560" s="4"/>
    </row>
    <row r="561" ht="17.25" customHeight="1">
      <c r="Q561" s="3"/>
      <c r="R561" s="4"/>
    </row>
    <row r="562" ht="17.25" customHeight="1">
      <c r="Q562" s="3"/>
      <c r="R562" s="4"/>
    </row>
    <row r="563" ht="17.25" customHeight="1">
      <c r="Q563" s="3"/>
      <c r="R563" s="4"/>
    </row>
    <row r="564" ht="17.25" customHeight="1">
      <c r="Q564" s="3"/>
      <c r="R564" s="4"/>
    </row>
    <row r="565" ht="17.25" customHeight="1">
      <c r="Q565" s="3"/>
      <c r="R565" s="4"/>
    </row>
    <row r="566" ht="17.25" customHeight="1">
      <c r="Q566" s="3"/>
      <c r="R566" s="4"/>
    </row>
    <row r="567" ht="17.25" customHeight="1">
      <c r="Q567" s="3"/>
      <c r="R567" s="4"/>
    </row>
    <row r="568" ht="17.25" customHeight="1">
      <c r="Q568" s="3"/>
      <c r="R568" s="4"/>
    </row>
    <row r="569" ht="17.25" customHeight="1">
      <c r="Q569" s="3"/>
      <c r="R569" s="4"/>
    </row>
    <row r="570" ht="17.25" customHeight="1">
      <c r="Q570" s="3"/>
      <c r="R570" s="4"/>
    </row>
    <row r="571" ht="17.25" customHeight="1">
      <c r="Q571" s="3"/>
      <c r="R571" s="4"/>
    </row>
    <row r="572" ht="17.25" customHeight="1">
      <c r="Q572" s="3"/>
      <c r="R572" s="4"/>
    </row>
    <row r="573" ht="17.25" customHeight="1">
      <c r="Q573" s="3"/>
      <c r="R573" s="4"/>
    </row>
    <row r="574" ht="17.25" customHeight="1">
      <c r="Q574" s="3"/>
      <c r="R574" s="4"/>
    </row>
    <row r="575" ht="17.25" customHeight="1">
      <c r="Q575" s="3"/>
      <c r="R575" s="4"/>
    </row>
    <row r="576" ht="17.25" customHeight="1">
      <c r="Q576" s="3"/>
      <c r="R576" s="4"/>
    </row>
    <row r="577" ht="17.25" customHeight="1">
      <c r="Q577" s="3"/>
      <c r="R577" s="4"/>
    </row>
    <row r="578" ht="17.25" customHeight="1">
      <c r="Q578" s="3"/>
      <c r="R578" s="4"/>
    </row>
    <row r="579" ht="17.25" customHeight="1">
      <c r="Q579" s="3"/>
      <c r="R579" s="4"/>
    </row>
    <row r="580" ht="17.25" customHeight="1">
      <c r="Q580" s="3"/>
      <c r="R580" s="4"/>
    </row>
    <row r="581" ht="17.25" customHeight="1">
      <c r="Q581" s="3"/>
      <c r="R581" s="4"/>
    </row>
    <row r="582" ht="17.25" customHeight="1">
      <c r="Q582" s="3"/>
      <c r="R582" s="4"/>
    </row>
    <row r="583" ht="17.25" customHeight="1">
      <c r="Q583" s="3"/>
      <c r="R583" s="4"/>
    </row>
    <row r="584" ht="17.25" customHeight="1">
      <c r="Q584" s="3"/>
      <c r="R584" s="4"/>
    </row>
    <row r="585" ht="17.25" customHeight="1">
      <c r="Q585" s="3"/>
      <c r="R585" s="4"/>
    </row>
    <row r="586" ht="17.25" customHeight="1">
      <c r="Q586" s="3"/>
      <c r="R586" s="4"/>
    </row>
    <row r="587" ht="17.25" customHeight="1">
      <c r="Q587" s="3"/>
      <c r="R587" s="4"/>
    </row>
    <row r="588" ht="17.25" customHeight="1">
      <c r="Q588" s="3"/>
      <c r="R588" s="4"/>
    </row>
    <row r="589" ht="17.25" customHeight="1">
      <c r="Q589" s="3"/>
      <c r="R589" s="4"/>
    </row>
    <row r="590" ht="17.25" customHeight="1">
      <c r="Q590" s="3"/>
      <c r="R590" s="4"/>
    </row>
    <row r="591" ht="17.25" customHeight="1">
      <c r="Q591" s="3"/>
      <c r="R591" s="4"/>
    </row>
    <row r="592" ht="17.25" customHeight="1">
      <c r="Q592" s="3"/>
      <c r="R592" s="4"/>
    </row>
    <row r="593" ht="17.25" customHeight="1">
      <c r="Q593" s="3"/>
      <c r="R593" s="4"/>
    </row>
    <row r="594" ht="17.25" customHeight="1">
      <c r="Q594" s="3"/>
      <c r="R594" s="4"/>
    </row>
    <row r="595" ht="17.25" customHeight="1">
      <c r="Q595" s="3"/>
      <c r="R595" s="4"/>
    </row>
    <row r="596" ht="17.25" customHeight="1">
      <c r="Q596" s="3"/>
      <c r="R596" s="4"/>
    </row>
    <row r="597" ht="17.25" customHeight="1">
      <c r="Q597" s="3"/>
      <c r="R597" s="4"/>
    </row>
    <row r="598" ht="17.25" customHeight="1">
      <c r="Q598" s="3"/>
      <c r="R598" s="4"/>
    </row>
    <row r="599" ht="17.25" customHeight="1">
      <c r="Q599" s="3"/>
      <c r="R599" s="4"/>
    </row>
    <row r="600" ht="17.25" customHeight="1">
      <c r="Q600" s="3"/>
      <c r="R600" s="4"/>
    </row>
    <row r="601" ht="17.25" customHeight="1">
      <c r="Q601" s="3"/>
      <c r="R601" s="4"/>
    </row>
    <row r="602" ht="17.25" customHeight="1">
      <c r="Q602" s="3"/>
      <c r="R602" s="4"/>
    </row>
    <row r="603" ht="17.25" customHeight="1">
      <c r="Q603" s="3"/>
      <c r="R603" s="4"/>
    </row>
    <row r="604" ht="17.25" customHeight="1">
      <c r="Q604" s="3"/>
      <c r="R604" s="4"/>
    </row>
    <row r="605" ht="17.25" customHeight="1">
      <c r="Q605" s="3"/>
      <c r="R605" s="4"/>
    </row>
    <row r="606" ht="17.25" customHeight="1">
      <c r="Q606" s="3"/>
      <c r="R606" s="4"/>
    </row>
    <row r="607" ht="17.25" customHeight="1">
      <c r="Q607" s="3"/>
      <c r="R607" s="4"/>
    </row>
    <row r="608" ht="17.25" customHeight="1">
      <c r="Q608" s="3"/>
      <c r="R608" s="4"/>
    </row>
    <row r="609" ht="17.25" customHeight="1">
      <c r="Q609" s="3"/>
      <c r="R609" s="4"/>
    </row>
    <row r="610" ht="17.25" customHeight="1">
      <c r="Q610" s="3"/>
      <c r="R610" s="4"/>
    </row>
    <row r="611" ht="17.25" customHeight="1">
      <c r="Q611" s="3"/>
      <c r="R611" s="4"/>
    </row>
    <row r="612" ht="17.25" customHeight="1">
      <c r="Q612" s="3"/>
      <c r="R612" s="4"/>
    </row>
    <row r="613" ht="17.25" customHeight="1">
      <c r="Q613" s="3"/>
      <c r="R613" s="4"/>
    </row>
    <row r="614" ht="17.25" customHeight="1">
      <c r="Q614" s="3"/>
      <c r="R614" s="4"/>
    </row>
    <row r="615" ht="17.25" customHeight="1">
      <c r="Q615" s="3"/>
      <c r="R615" s="4"/>
    </row>
    <row r="616" ht="17.25" customHeight="1">
      <c r="Q616" s="3"/>
      <c r="R616" s="4"/>
    </row>
    <row r="617" ht="17.25" customHeight="1">
      <c r="Q617" s="3"/>
      <c r="R617" s="4"/>
    </row>
    <row r="618" ht="17.25" customHeight="1">
      <c r="Q618" s="3"/>
      <c r="R618" s="4"/>
    </row>
    <row r="619" ht="17.25" customHeight="1">
      <c r="Q619" s="3"/>
      <c r="R619" s="4"/>
    </row>
    <row r="620" ht="17.25" customHeight="1">
      <c r="Q620" s="3"/>
      <c r="R620" s="4"/>
    </row>
    <row r="621" ht="17.25" customHeight="1">
      <c r="Q621" s="3"/>
      <c r="R621" s="4"/>
    </row>
    <row r="622" ht="17.25" customHeight="1">
      <c r="Q622" s="3"/>
      <c r="R622" s="4"/>
    </row>
    <row r="623" ht="17.25" customHeight="1">
      <c r="Q623" s="3"/>
      <c r="R623" s="4"/>
    </row>
    <row r="624" ht="17.25" customHeight="1">
      <c r="Q624" s="3"/>
      <c r="R624" s="4"/>
    </row>
    <row r="625" ht="17.25" customHeight="1">
      <c r="Q625" s="3"/>
      <c r="R625" s="4"/>
    </row>
    <row r="626" ht="17.25" customHeight="1">
      <c r="Q626" s="3"/>
      <c r="R626" s="4"/>
    </row>
    <row r="627" ht="17.25" customHeight="1">
      <c r="Q627" s="3"/>
      <c r="R627" s="4"/>
    </row>
    <row r="628" ht="17.25" customHeight="1">
      <c r="Q628" s="3"/>
      <c r="R628" s="4"/>
    </row>
    <row r="629" ht="17.25" customHeight="1">
      <c r="Q629" s="3"/>
      <c r="R629" s="4"/>
    </row>
    <row r="630" ht="17.25" customHeight="1">
      <c r="Q630" s="3"/>
      <c r="R630" s="4"/>
    </row>
    <row r="631" ht="17.25" customHeight="1">
      <c r="Q631" s="3"/>
      <c r="R631" s="4"/>
    </row>
    <row r="632" ht="17.25" customHeight="1">
      <c r="Q632" s="3"/>
      <c r="R632" s="4"/>
    </row>
    <row r="633" ht="17.25" customHeight="1">
      <c r="Q633" s="3"/>
      <c r="R633" s="4"/>
    </row>
    <row r="634" ht="17.25" customHeight="1">
      <c r="Q634" s="3"/>
      <c r="R634" s="4"/>
    </row>
    <row r="635" ht="17.25" customHeight="1">
      <c r="Q635" s="3"/>
      <c r="R635" s="4"/>
    </row>
    <row r="636" ht="17.25" customHeight="1">
      <c r="Q636" s="3"/>
      <c r="R636" s="4"/>
    </row>
    <row r="637" ht="17.25" customHeight="1">
      <c r="Q637" s="3"/>
      <c r="R637" s="4"/>
    </row>
    <row r="638" ht="17.25" customHeight="1">
      <c r="Q638" s="3"/>
      <c r="R638" s="4"/>
    </row>
    <row r="639" ht="17.25" customHeight="1">
      <c r="Q639" s="3"/>
      <c r="R639" s="4"/>
    </row>
    <row r="640" ht="17.25" customHeight="1">
      <c r="Q640" s="3"/>
      <c r="R640" s="4"/>
    </row>
    <row r="641" ht="17.25" customHeight="1">
      <c r="Q641" s="3"/>
      <c r="R641" s="4"/>
    </row>
    <row r="642" ht="17.25" customHeight="1">
      <c r="Q642" s="3"/>
      <c r="R642" s="4"/>
    </row>
    <row r="643" ht="17.25" customHeight="1">
      <c r="Q643" s="3"/>
      <c r="R643" s="4"/>
    </row>
    <row r="644" ht="17.25" customHeight="1">
      <c r="Q644" s="3"/>
      <c r="R644" s="4"/>
    </row>
    <row r="645" ht="17.25" customHeight="1">
      <c r="Q645" s="3"/>
      <c r="R645" s="4"/>
    </row>
    <row r="646" ht="17.25" customHeight="1">
      <c r="Q646" s="3"/>
      <c r="R646" s="4"/>
    </row>
    <row r="647" ht="17.25" customHeight="1">
      <c r="Q647" s="3"/>
      <c r="R647" s="4"/>
    </row>
    <row r="648" ht="17.25" customHeight="1">
      <c r="Q648" s="3"/>
      <c r="R648" s="4"/>
    </row>
    <row r="649" ht="17.25" customHeight="1">
      <c r="Q649" s="3"/>
      <c r="R649" s="4"/>
    </row>
    <row r="650" ht="17.25" customHeight="1">
      <c r="Q650" s="3"/>
      <c r="R650" s="4"/>
    </row>
    <row r="651" ht="17.25" customHeight="1">
      <c r="Q651" s="3"/>
      <c r="R651" s="4"/>
    </row>
    <row r="652" ht="17.25" customHeight="1">
      <c r="Q652" s="3"/>
      <c r="R652" s="4"/>
    </row>
    <row r="653" ht="17.25" customHeight="1">
      <c r="Q653" s="3"/>
      <c r="R653" s="4"/>
    </row>
    <row r="654" ht="17.25" customHeight="1">
      <c r="Q654" s="3"/>
      <c r="R654" s="4"/>
    </row>
    <row r="655" ht="17.25" customHeight="1">
      <c r="Q655" s="3"/>
      <c r="R655" s="4"/>
    </row>
    <row r="656" ht="17.25" customHeight="1">
      <c r="Q656" s="3"/>
      <c r="R656" s="4"/>
    </row>
    <row r="657" ht="17.25" customHeight="1">
      <c r="Q657" s="3"/>
      <c r="R657" s="4"/>
    </row>
    <row r="658" ht="17.25" customHeight="1">
      <c r="Q658" s="3"/>
      <c r="R658" s="4"/>
    </row>
    <row r="659" ht="17.25" customHeight="1">
      <c r="Q659" s="3"/>
      <c r="R659" s="4"/>
    </row>
    <row r="660" ht="17.25" customHeight="1">
      <c r="Q660" s="3"/>
      <c r="R660" s="4"/>
    </row>
    <row r="661" ht="17.25" customHeight="1">
      <c r="Q661" s="3"/>
      <c r="R661" s="4"/>
    </row>
    <row r="662" ht="17.25" customHeight="1">
      <c r="Q662" s="3"/>
      <c r="R662" s="4"/>
    </row>
    <row r="663" ht="17.25" customHeight="1">
      <c r="Q663" s="3"/>
      <c r="R663" s="4"/>
    </row>
    <row r="664" ht="17.25" customHeight="1">
      <c r="Q664" s="3"/>
      <c r="R664" s="4"/>
    </row>
    <row r="665" ht="17.25" customHeight="1">
      <c r="Q665" s="3"/>
      <c r="R665" s="4"/>
    </row>
    <row r="666" ht="17.25" customHeight="1">
      <c r="Q666" s="3"/>
      <c r="R666" s="4"/>
    </row>
    <row r="667" ht="17.25" customHeight="1">
      <c r="Q667" s="3"/>
      <c r="R667" s="4"/>
    </row>
    <row r="668" ht="17.25" customHeight="1">
      <c r="Q668" s="3"/>
      <c r="R668" s="4"/>
    </row>
    <row r="669" ht="17.25" customHeight="1">
      <c r="Q669" s="3"/>
      <c r="R669" s="4"/>
    </row>
    <row r="670" ht="17.25" customHeight="1">
      <c r="Q670" s="3"/>
      <c r="R670" s="4"/>
    </row>
    <row r="671" ht="17.25" customHeight="1">
      <c r="Q671" s="3"/>
      <c r="R671" s="4"/>
    </row>
    <row r="672" ht="17.25" customHeight="1">
      <c r="Q672" s="3"/>
      <c r="R672" s="4"/>
    </row>
    <row r="673" ht="17.25" customHeight="1">
      <c r="Q673" s="3"/>
      <c r="R673" s="4"/>
    </row>
    <row r="674" ht="17.25" customHeight="1">
      <c r="Q674" s="3"/>
      <c r="R674" s="4"/>
    </row>
    <row r="675" ht="17.25" customHeight="1">
      <c r="Q675" s="3"/>
      <c r="R675" s="4"/>
    </row>
    <row r="676" ht="17.25" customHeight="1">
      <c r="Q676" s="3"/>
      <c r="R676" s="4"/>
    </row>
    <row r="677" ht="17.25" customHeight="1">
      <c r="Q677" s="3"/>
      <c r="R677" s="4"/>
    </row>
    <row r="678" ht="17.25" customHeight="1">
      <c r="Q678" s="3"/>
      <c r="R678" s="4"/>
    </row>
    <row r="679" ht="17.25" customHeight="1">
      <c r="Q679" s="3"/>
      <c r="R679" s="4"/>
    </row>
    <row r="680" ht="17.25" customHeight="1">
      <c r="Q680" s="3"/>
      <c r="R680" s="4"/>
    </row>
    <row r="681" ht="17.25" customHeight="1">
      <c r="Q681" s="3"/>
      <c r="R681" s="4"/>
    </row>
    <row r="682" ht="17.25" customHeight="1">
      <c r="Q682" s="3"/>
      <c r="R682" s="4"/>
    </row>
    <row r="683" ht="17.25" customHeight="1">
      <c r="Q683" s="3"/>
      <c r="R683" s="4"/>
    </row>
    <row r="684" ht="17.25" customHeight="1">
      <c r="Q684" s="3"/>
      <c r="R684" s="4"/>
    </row>
    <row r="685" ht="17.25" customHeight="1">
      <c r="Q685" s="3"/>
      <c r="R685" s="4"/>
    </row>
    <row r="686" ht="17.25" customHeight="1">
      <c r="Q686" s="3"/>
      <c r="R686" s="4"/>
    </row>
    <row r="687" ht="17.25" customHeight="1">
      <c r="Q687" s="3"/>
      <c r="R687" s="4"/>
    </row>
    <row r="688" ht="17.25" customHeight="1">
      <c r="Q688" s="3"/>
      <c r="R688" s="4"/>
    </row>
    <row r="689" ht="17.25" customHeight="1">
      <c r="Q689" s="3"/>
      <c r="R689" s="4"/>
    </row>
    <row r="690" ht="17.25" customHeight="1">
      <c r="Q690" s="3"/>
      <c r="R690" s="4"/>
    </row>
    <row r="691" ht="17.25" customHeight="1">
      <c r="Q691" s="3"/>
      <c r="R691" s="4"/>
    </row>
    <row r="692" ht="17.25" customHeight="1">
      <c r="Q692" s="3"/>
      <c r="R692" s="4"/>
    </row>
    <row r="693" ht="17.25" customHeight="1">
      <c r="Q693" s="3"/>
      <c r="R693" s="4"/>
    </row>
    <row r="694" ht="17.25" customHeight="1">
      <c r="Q694" s="3"/>
      <c r="R694" s="4"/>
    </row>
    <row r="695" ht="17.25" customHeight="1">
      <c r="Q695" s="3"/>
      <c r="R695" s="4"/>
    </row>
    <row r="696" ht="17.25" customHeight="1">
      <c r="Q696" s="3"/>
      <c r="R696" s="4"/>
    </row>
    <row r="697" ht="17.25" customHeight="1">
      <c r="Q697" s="3"/>
      <c r="R697" s="4"/>
    </row>
    <row r="698" ht="17.25" customHeight="1">
      <c r="Q698" s="3"/>
      <c r="R698" s="4"/>
    </row>
    <row r="699" ht="17.25" customHeight="1">
      <c r="Q699" s="3"/>
      <c r="R699" s="4"/>
    </row>
    <row r="700" ht="17.25" customHeight="1">
      <c r="Q700" s="3"/>
      <c r="R700" s="4"/>
    </row>
    <row r="701" ht="17.25" customHeight="1">
      <c r="Q701" s="3"/>
      <c r="R701" s="4"/>
    </row>
    <row r="702" ht="17.25" customHeight="1">
      <c r="Q702" s="3"/>
      <c r="R702" s="4"/>
    </row>
    <row r="703" ht="17.25" customHeight="1">
      <c r="Q703" s="3"/>
      <c r="R703" s="4"/>
    </row>
    <row r="704" ht="17.25" customHeight="1">
      <c r="Q704" s="3"/>
      <c r="R704" s="4"/>
    </row>
    <row r="705" ht="17.25" customHeight="1">
      <c r="Q705" s="3"/>
      <c r="R705" s="4"/>
    </row>
    <row r="706" ht="17.25" customHeight="1">
      <c r="Q706" s="3"/>
      <c r="R706" s="4"/>
    </row>
    <row r="707" ht="17.25" customHeight="1">
      <c r="Q707" s="3"/>
      <c r="R707" s="4"/>
    </row>
    <row r="708" ht="17.25" customHeight="1">
      <c r="Q708" s="3"/>
      <c r="R708" s="4"/>
    </row>
    <row r="709" ht="17.25" customHeight="1">
      <c r="Q709" s="3"/>
      <c r="R709" s="4"/>
    </row>
    <row r="710" ht="17.25" customHeight="1">
      <c r="Q710" s="3"/>
      <c r="R710" s="4"/>
    </row>
    <row r="711" ht="17.25" customHeight="1">
      <c r="Q711" s="3"/>
      <c r="R711" s="4"/>
    </row>
    <row r="712" ht="17.25" customHeight="1">
      <c r="Q712" s="3"/>
      <c r="R712" s="4"/>
    </row>
    <row r="713" ht="17.25" customHeight="1">
      <c r="Q713" s="3"/>
      <c r="R713" s="4"/>
    </row>
    <row r="714" ht="17.25" customHeight="1">
      <c r="Q714" s="3"/>
      <c r="R714" s="4"/>
    </row>
    <row r="715" ht="17.25" customHeight="1">
      <c r="Q715" s="3"/>
      <c r="R715" s="4"/>
    </row>
    <row r="716" ht="17.25" customHeight="1">
      <c r="Q716" s="3"/>
      <c r="R716" s="4"/>
    </row>
    <row r="717" ht="17.25" customHeight="1">
      <c r="Q717" s="3"/>
      <c r="R717" s="4"/>
    </row>
    <row r="718" ht="17.25" customHeight="1">
      <c r="Q718" s="3"/>
      <c r="R718" s="4"/>
    </row>
    <row r="719" ht="17.25" customHeight="1">
      <c r="Q719" s="3"/>
      <c r="R719" s="4"/>
    </row>
    <row r="720" ht="17.25" customHeight="1">
      <c r="Q720" s="3"/>
      <c r="R720" s="4"/>
    </row>
    <row r="721" ht="17.25" customHeight="1">
      <c r="Q721" s="3"/>
      <c r="R721" s="4"/>
    </row>
    <row r="722" ht="17.25" customHeight="1">
      <c r="Q722" s="3"/>
      <c r="R722" s="4"/>
    </row>
    <row r="723" ht="17.25" customHeight="1">
      <c r="Q723" s="3"/>
      <c r="R723" s="4"/>
    </row>
    <row r="724" ht="17.25" customHeight="1">
      <c r="Q724" s="3"/>
      <c r="R724" s="4"/>
    </row>
    <row r="725" ht="17.25" customHeight="1">
      <c r="Q725" s="3"/>
      <c r="R725" s="4"/>
    </row>
    <row r="726" ht="17.25" customHeight="1">
      <c r="Q726" s="3"/>
      <c r="R726" s="4"/>
    </row>
    <row r="727" ht="17.25" customHeight="1">
      <c r="Q727" s="3"/>
      <c r="R727" s="4"/>
    </row>
    <row r="728" ht="17.25" customHeight="1">
      <c r="Q728" s="3"/>
      <c r="R728" s="4"/>
    </row>
    <row r="729" ht="17.25" customHeight="1">
      <c r="Q729" s="3"/>
      <c r="R729" s="4"/>
    </row>
    <row r="730" ht="17.25" customHeight="1">
      <c r="Q730" s="3"/>
      <c r="R730" s="4"/>
    </row>
    <row r="731" ht="17.25" customHeight="1">
      <c r="Q731" s="3"/>
      <c r="R731" s="4"/>
    </row>
    <row r="732" ht="17.25" customHeight="1">
      <c r="Q732" s="3"/>
      <c r="R732" s="4"/>
    </row>
    <row r="733" ht="17.25" customHeight="1">
      <c r="Q733" s="3"/>
      <c r="R733" s="4"/>
    </row>
    <row r="734" ht="17.25" customHeight="1">
      <c r="Q734" s="3"/>
      <c r="R734" s="4"/>
    </row>
    <row r="735" ht="17.25" customHeight="1">
      <c r="Q735" s="3"/>
      <c r="R735" s="4"/>
    </row>
    <row r="736" ht="17.25" customHeight="1">
      <c r="Q736" s="3"/>
      <c r="R736" s="4"/>
    </row>
    <row r="737" ht="17.25" customHeight="1">
      <c r="Q737" s="3"/>
      <c r="R737" s="4"/>
    </row>
    <row r="738" ht="17.25" customHeight="1">
      <c r="Q738" s="3"/>
      <c r="R738" s="4"/>
    </row>
    <row r="739" ht="17.25" customHeight="1">
      <c r="Q739" s="3"/>
      <c r="R739" s="4"/>
    </row>
    <row r="740" ht="17.25" customHeight="1">
      <c r="Q740" s="3"/>
      <c r="R740" s="4"/>
    </row>
    <row r="741" ht="17.25" customHeight="1">
      <c r="Q741" s="3"/>
      <c r="R741" s="4"/>
    </row>
    <row r="742" ht="17.25" customHeight="1">
      <c r="Q742" s="3"/>
      <c r="R742" s="4"/>
    </row>
    <row r="743" ht="17.25" customHeight="1">
      <c r="Q743" s="3"/>
      <c r="R743" s="4"/>
    </row>
    <row r="744" ht="17.25" customHeight="1">
      <c r="Q744" s="3"/>
      <c r="R744" s="4"/>
    </row>
    <row r="745" ht="17.25" customHeight="1">
      <c r="Q745" s="3"/>
      <c r="R745" s="4"/>
    </row>
    <row r="746" ht="17.25" customHeight="1">
      <c r="Q746" s="3"/>
      <c r="R746" s="4"/>
    </row>
    <row r="747" ht="17.25" customHeight="1">
      <c r="Q747" s="3"/>
      <c r="R747" s="4"/>
    </row>
    <row r="748" ht="17.25" customHeight="1">
      <c r="Q748" s="3"/>
      <c r="R748" s="4"/>
    </row>
    <row r="749" ht="17.25" customHeight="1">
      <c r="Q749" s="3"/>
      <c r="R749" s="4"/>
    </row>
    <row r="750" ht="17.25" customHeight="1">
      <c r="Q750" s="3"/>
      <c r="R750" s="4"/>
    </row>
    <row r="751" ht="17.25" customHeight="1">
      <c r="Q751" s="3"/>
      <c r="R751" s="4"/>
    </row>
    <row r="752" ht="17.25" customHeight="1">
      <c r="Q752" s="3"/>
      <c r="R752" s="4"/>
    </row>
    <row r="753" ht="17.25" customHeight="1">
      <c r="Q753" s="3"/>
      <c r="R753" s="4"/>
    </row>
    <row r="754" ht="17.25" customHeight="1">
      <c r="Q754" s="3"/>
      <c r="R754" s="4"/>
    </row>
    <row r="755" ht="17.25" customHeight="1">
      <c r="Q755" s="3"/>
      <c r="R755" s="4"/>
    </row>
    <row r="756" ht="17.25" customHeight="1">
      <c r="Q756" s="3"/>
      <c r="R756" s="4"/>
    </row>
    <row r="757" ht="17.25" customHeight="1">
      <c r="Q757" s="3"/>
      <c r="R757" s="4"/>
    </row>
    <row r="758" ht="17.25" customHeight="1">
      <c r="Q758" s="3"/>
      <c r="R758" s="4"/>
    </row>
    <row r="759" ht="17.25" customHeight="1">
      <c r="Q759" s="3"/>
      <c r="R759" s="4"/>
    </row>
    <row r="760" ht="17.25" customHeight="1">
      <c r="Q760" s="3"/>
      <c r="R760" s="4"/>
    </row>
    <row r="761" ht="17.25" customHeight="1">
      <c r="Q761" s="3"/>
      <c r="R761" s="4"/>
    </row>
    <row r="762" ht="17.25" customHeight="1">
      <c r="Q762" s="3"/>
      <c r="R762" s="4"/>
    </row>
    <row r="763" ht="17.25" customHeight="1">
      <c r="Q763" s="3"/>
      <c r="R763" s="4"/>
    </row>
    <row r="764" ht="17.25" customHeight="1">
      <c r="Q764" s="3"/>
      <c r="R764" s="4"/>
    </row>
    <row r="765" ht="17.25" customHeight="1">
      <c r="Q765" s="3"/>
      <c r="R765" s="4"/>
    </row>
    <row r="766" ht="17.25" customHeight="1">
      <c r="Q766" s="3"/>
      <c r="R766" s="4"/>
    </row>
    <row r="767" ht="17.25" customHeight="1">
      <c r="Q767" s="3"/>
      <c r="R767" s="4"/>
    </row>
    <row r="768" ht="17.25" customHeight="1">
      <c r="Q768" s="3"/>
      <c r="R768" s="4"/>
    </row>
    <row r="769" ht="17.25" customHeight="1">
      <c r="Q769" s="3"/>
      <c r="R769" s="4"/>
    </row>
    <row r="770" ht="17.25" customHeight="1">
      <c r="Q770" s="3"/>
      <c r="R770" s="4"/>
    </row>
    <row r="771" ht="17.25" customHeight="1">
      <c r="Q771" s="3"/>
      <c r="R771" s="4"/>
    </row>
    <row r="772" ht="17.25" customHeight="1">
      <c r="Q772" s="3"/>
      <c r="R772" s="4"/>
    </row>
    <row r="773" ht="17.25" customHeight="1">
      <c r="Q773" s="3"/>
      <c r="R773" s="4"/>
    </row>
    <row r="774" ht="17.25" customHeight="1">
      <c r="Q774" s="3"/>
      <c r="R774" s="4"/>
    </row>
    <row r="775" ht="17.25" customHeight="1">
      <c r="Q775" s="3"/>
      <c r="R775" s="4"/>
    </row>
    <row r="776" ht="17.25" customHeight="1">
      <c r="Q776" s="3"/>
      <c r="R776" s="4"/>
    </row>
    <row r="777" ht="17.25" customHeight="1">
      <c r="Q777" s="3"/>
      <c r="R777" s="4"/>
    </row>
    <row r="778" ht="17.25" customHeight="1">
      <c r="Q778" s="3"/>
      <c r="R778" s="4"/>
    </row>
    <row r="779" ht="17.25" customHeight="1">
      <c r="Q779" s="3"/>
      <c r="R779" s="4"/>
    </row>
    <row r="780" ht="17.25" customHeight="1">
      <c r="Q780" s="3"/>
      <c r="R780" s="4"/>
    </row>
    <row r="781" ht="17.25" customHeight="1">
      <c r="Q781" s="3"/>
      <c r="R781" s="4"/>
    </row>
    <row r="782" ht="17.25" customHeight="1">
      <c r="Q782" s="3"/>
      <c r="R782" s="4"/>
    </row>
    <row r="783" ht="17.25" customHeight="1">
      <c r="Q783" s="3"/>
      <c r="R783" s="4"/>
    </row>
    <row r="784" ht="17.25" customHeight="1">
      <c r="Q784" s="3"/>
      <c r="R784" s="4"/>
    </row>
    <row r="785" ht="17.25" customHeight="1">
      <c r="Q785" s="3"/>
      <c r="R785" s="4"/>
    </row>
    <row r="786" ht="17.25" customHeight="1">
      <c r="Q786" s="3"/>
      <c r="R786" s="4"/>
    </row>
    <row r="787" ht="17.25" customHeight="1">
      <c r="Q787" s="3"/>
      <c r="R787" s="4"/>
    </row>
    <row r="788" ht="17.25" customHeight="1">
      <c r="Q788" s="3"/>
      <c r="R788" s="4"/>
    </row>
    <row r="789" ht="17.25" customHeight="1">
      <c r="Q789" s="3"/>
      <c r="R789" s="4"/>
    </row>
    <row r="790" ht="17.25" customHeight="1">
      <c r="Q790" s="3"/>
      <c r="R790" s="4"/>
    </row>
    <row r="791" ht="17.25" customHeight="1">
      <c r="Q791" s="3"/>
      <c r="R791" s="4"/>
    </row>
    <row r="792" ht="17.25" customHeight="1">
      <c r="Q792" s="3"/>
      <c r="R792" s="4"/>
    </row>
    <row r="793" ht="17.25" customHeight="1">
      <c r="Q793" s="3"/>
      <c r="R793" s="4"/>
    </row>
    <row r="794" ht="17.25" customHeight="1">
      <c r="Q794" s="3"/>
      <c r="R794" s="4"/>
    </row>
    <row r="795" ht="17.25" customHeight="1">
      <c r="Q795" s="3"/>
      <c r="R795" s="4"/>
    </row>
    <row r="796" ht="17.25" customHeight="1">
      <c r="Q796" s="3"/>
      <c r="R796" s="4"/>
    </row>
    <row r="797" ht="17.25" customHeight="1">
      <c r="Q797" s="3"/>
      <c r="R797" s="4"/>
    </row>
    <row r="798" ht="17.25" customHeight="1">
      <c r="Q798" s="3"/>
      <c r="R798" s="4"/>
    </row>
    <row r="799" ht="17.25" customHeight="1">
      <c r="Q799" s="3"/>
      <c r="R799" s="4"/>
    </row>
    <row r="800" ht="17.25" customHeight="1">
      <c r="Q800" s="3"/>
      <c r="R800" s="4"/>
    </row>
    <row r="801" ht="17.25" customHeight="1">
      <c r="Q801" s="3"/>
      <c r="R801" s="4"/>
    </row>
    <row r="802" ht="17.25" customHeight="1">
      <c r="Q802" s="3"/>
      <c r="R802" s="4"/>
    </row>
    <row r="803" ht="17.25" customHeight="1">
      <c r="Q803" s="3"/>
      <c r="R803" s="4"/>
    </row>
    <row r="804" ht="17.25" customHeight="1">
      <c r="Q804" s="3"/>
      <c r="R804" s="4"/>
    </row>
    <row r="805" ht="17.25" customHeight="1">
      <c r="Q805" s="3"/>
      <c r="R805" s="4"/>
    </row>
    <row r="806" ht="17.25" customHeight="1">
      <c r="Q806" s="3"/>
      <c r="R806" s="4"/>
    </row>
    <row r="807" ht="17.25" customHeight="1">
      <c r="Q807" s="3"/>
      <c r="R807" s="4"/>
    </row>
    <row r="808" ht="17.25" customHeight="1">
      <c r="Q808" s="3"/>
      <c r="R808" s="4"/>
    </row>
    <row r="809" ht="17.25" customHeight="1">
      <c r="Q809" s="3"/>
      <c r="R809" s="4"/>
    </row>
    <row r="810" ht="17.25" customHeight="1">
      <c r="Q810" s="3"/>
      <c r="R810" s="4"/>
    </row>
    <row r="811" ht="17.25" customHeight="1">
      <c r="Q811" s="3"/>
      <c r="R811" s="4"/>
    </row>
    <row r="812" ht="17.25" customHeight="1">
      <c r="Q812" s="3"/>
      <c r="R812" s="4"/>
    </row>
    <row r="813" ht="17.25" customHeight="1">
      <c r="Q813" s="3"/>
      <c r="R813" s="4"/>
    </row>
    <row r="814" ht="17.25" customHeight="1">
      <c r="Q814" s="3"/>
      <c r="R814" s="4"/>
    </row>
    <row r="815" ht="17.25" customHeight="1">
      <c r="Q815" s="3"/>
      <c r="R815" s="4"/>
    </row>
    <row r="816" ht="17.25" customHeight="1">
      <c r="Q816" s="3"/>
      <c r="R816" s="4"/>
    </row>
    <row r="817" ht="17.25" customHeight="1">
      <c r="Q817" s="3"/>
      <c r="R817" s="4"/>
    </row>
    <row r="818" ht="17.25" customHeight="1">
      <c r="Q818" s="3"/>
      <c r="R818" s="4"/>
    </row>
    <row r="819" ht="17.25" customHeight="1">
      <c r="Q819" s="3"/>
      <c r="R819" s="4"/>
    </row>
    <row r="820" ht="17.25" customHeight="1">
      <c r="Q820" s="3"/>
      <c r="R820" s="4"/>
    </row>
    <row r="821" ht="17.25" customHeight="1">
      <c r="Q821" s="3"/>
      <c r="R821" s="4"/>
    </row>
    <row r="822" ht="17.25" customHeight="1">
      <c r="Q822" s="3"/>
      <c r="R822" s="4"/>
    </row>
    <row r="823" ht="17.25" customHeight="1">
      <c r="Q823" s="3"/>
      <c r="R823" s="4"/>
    </row>
    <row r="824" ht="17.25" customHeight="1">
      <c r="Q824" s="3"/>
      <c r="R824" s="4"/>
    </row>
    <row r="825" ht="17.25" customHeight="1">
      <c r="Q825" s="3"/>
      <c r="R825" s="4"/>
    </row>
    <row r="826" ht="17.25" customHeight="1">
      <c r="Q826" s="3"/>
      <c r="R826" s="4"/>
    </row>
    <row r="827" ht="17.25" customHeight="1">
      <c r="Q827" s="3"/>
      <c r="R827" s="4"/>
    </row>
    <row r="828" ht="17.25" customHeight="1">
      <c r="Q828" s="3"/>
      <c r="R828" s="4"/>
    </row>
    <row r="829" ht="17.25" customHeight="1">
      <c r="Q829" s="3"/>
      <c r="R829" s="4"/>
    </row>
    <row r="830" ht="17.25" customHeight="1">
      <c r="Q830" s="3"/>
      <c r="R830" s="4"/>
    </row>
    <row r="831" ht="17.25" customHeight="1">
      <c r="Q831" s="3"/>
      <c r="R831" s="4"/>
    </row>
    <row r="832" ht="17.25" customHeight="1">
      <c r="Q832" s="3"/>
      <c r="R832" s="4"/>
    </row>
    <row r="833" ht="17.25" customHeight="1">
      <c r="Q833" s="3"/>
      <c r="R833" s="4"/>
    </row>
    <row r="834" ht="17.25" customHeight="1">
      <c r="Q834" s="3"/>
      <c r="R834" s="4"/>
    </row>
    <row r="835" ht="17.25" customHeight="1">
      <c r="Q835" s="3"/>
      <c r="R835" s="4"/>
    </row>
    <row r="836" ht="17.25" customHeight="1">
      <c r="Q836" s="3"/>
      <c r="R836" s="4"/>
    </row>
    <row r="837" ht="17.25" customHeight="1">
      <c r="Q837" s="3"/>
      <c r="R837" s="4"/>
    </row>
    <row r="838" ht="17.25" customHeight="1">
      <c r="Q838" s="3"/>
      <c r="R838" s="4"/>
    </row>
    <row r="839" ht="17.25" customHeight="1">
      <c r="Q839" s="3"/>
      <c r="R839" s="4"/>
    </row>
    <row r="840" ht="17.25" customHeight="1">
      <c r="Q840" s="3"/>
      <c r="R840" s="4"/>
    </row>
    <row r="841" ht="17.25" customHeight="1">
      <c r="Q841" s="3"/>
      <c r="R841" s="4"/>
    </row>
    <row r="842" ht="17.25" customHeight="1">
      <c r="Q842" s="3"/>
      <c r="R842" s="4"/>
    </row>
    <row r="843" ht="17.25" customHeight="1">
      <c r="Q843" s="3"/>
      <c r="R843" s="4"/>
    </row>
    <row r="844" ht="17.25" customHeight="1">
      <c r="Q844" s="3"/>
      <c r="R844" s="4"/>
    </row>
    <row r="845" ht="17.25" customHeight="1">
      <c r="Q845" s="3"/>
      <c r="R845" s="4"/>
    </row>
    <row r="846" ht="17.25" customHeight="1">
      <c r="Q846" s="3"/>
      <c r="R846" s="4"/>
    </row>
    <row r="847" ht="17.25" customHeight="1">
      <c r="Q847" s="3"/>
      <c r="R847" s="4"/>
    </row>
    <row r="848" ht="17.25" customHeight="1">
      <c r="Q848" s="3"/>
      <c r="R848" s="4"/>
    </row>
    <row r="849" ht="17.25" customHeight="1">
      <c r="Q849" s="3"/>
      <c r="R849" s="4"/>
    </row>
    <row r="850" ht="17.25" customHeight="1">
      <c r="Q850" s="3"/>
      <c r="R850" s="4"/>
    </row>
    <row r="851" ht="17.25" customHeight="1">
      <c r="Q851" s="3"/>
      <c r="R851" s="4"/>
    </row>
    <row r="852" ht="17.25" customHeight="1">
      <c r="Q852" s="3"/>
      <c r="R852" s="4"/>
    </row>
    <row r="853" ht="17.25" customHeight="1">
      <c r="Q853" s="3"/>
      <c r="R853" s="4"/>
    </row>
    <row r="854" ht="17.25" customHeight="1">
      <c r="Q854" s="3"/>
      <c r="R854" s="4"/>
    </row>
    <row r="855" ht="17.25" customHeight="1">
      <c r="Q855" s="3"/>
      <c r="R855" s="4"/>
    </row>
    <row r="856" ht="17.25" customHeight="1">
      <c r="Q856" s="3"/>
      <c r="R856" s="4"/>
    </row>
    <row r="857" ht="17.25" customHeight="1">
      <c r="Q857" s="3"/>
      <c r="R857" s="4"/>
    </row>
    <row r="858" ht="17.25" customHeight="1">
      <c r="Q858" s="3"/>
      <c r="R858" s="4"/>
    </row>
    <row r="859" ht="17.25" customHeight="1">
      <c r="Q859" s="3"/>
      <c r="R859" s="4"/>
    </row>
    <row r="860" ht="17.25" customHeight="1">
      <c r="Q860" s="3"/>
      <c r="R860" s="4"/>
    </row>
    <row r="861" ht="17.25" customHeight="1">
      <c r="Q861" s="3"/>
      <c r="R861" s="4"/>
    </row>
    <row r="862" ht="17.25" customHeight="1">
      <c r="Q862" s="3"/>
      <c r="R862" s="4"/>
    </row>
    <row r="863" ht="17.25" customHeight="1">
      <c r="Q863" s="3"/>
      <c r="R863" s="4"/>
    </row>
    <row r="864" ht="17.25" customHeight="1">
      <c r="Q864" s="3"/>
      <c r="R864" s="4"/>
    </row>
    <row r="865" ht="17.25" customHeight="1">
      <c r="Q865" s="3"/>
      <c r="R865" s="4"/>
    </row>
    <row r="866" ht="17.25" customHeight="1">
      <c r="Q866" s="3"/>
      <c r="R866" s="4"/>
    </row>
    <row r="867" ht="17.25" customHeight="1">
      <c r="Q867" s="3"/>
      <c r="R867" s="4"/>
    </row>
    <row r="868" ht="17.25" customHeight="1">
      <c r="Q868" s="3"/>
      <c r="R868" s="4"/>
    </row>
    <row r="869" ht="17.25" customHeight="1">
      <c r="Q869" s="3"/>
      <c r="R869" s="4"/>
    </row>
    <row r="870" ht="17.25" customHeight="1">
      <c r="Q870" s="3"/>
      <c r="R870" s="4"/>
    </row>
    <row r="871" ht="17.25" customHeight="1">
      <c r="Q871" s="3"/>
      <c r="R871" s="4"/>
    </row>
    <row r="872" ht="17.25" customHeight="1">
      <c r="Q872" s="3"/>
      <c r="R872" s="4"/>
    </row>
    <row r="873" ht="17.25" customHeight="1">
      <c r="Q873" s="3"/>
      <c r="R873" s="4"/>
    </row>
    <row r="874" ht="17.25" customHeight="1">
      <c r="Q874" s="3"/>
      <c r="R874" s="4"/>
    </row>
    <row r="875" ht="17.25" customHeight="1">
      <c r="Q875" s="3"/>
      <c r="R875" s="4"/>
    </row>
    <row r="876" ht="17.25" customHeight="1">
      <c r="Q876" s="3"/>
      <c r="R876" s="4"/>
    </row>
    <row r="877" ht="17.25" customHeight="1">
      <c r="Q877" s="3"/>
      <c r="R877" s="4"/>
    </row>
    <row r="878" ht="17.25" customHeight="1">
      <c r="Q878" s="3"/>
      <c r="R878" s="4"/>
    </row>
    <row r="879" ht="17.25" customHeight="1">
      <c r="Q879" s="3"/>
      <c r="R879" s="4"/>
    </row>
    <row r="880" ht="17.25" customHeight="1">
      <c r="Q880" s="3"/>
      <c r="R880" s="4"/>
    </row>
    <row r="881" ht="17.25" customHeight="1">
      <c r="Q881" s="3"/>
      <c r="R881" s="4"/>
    </row>
    <row r="882" ht="17.25" customHeight="1">
      <c r="Q882" s="3"/>
      <c r="R882" s="4"/>
    </row>
    <row r="883" ht="17.25" customHeight="1">
      <c r="Q883" s="3"/>
      <c r="R883" s="4"/>
    </row>
    <row r="884" ht="17.25" customHeight="1">
      <c r="Q884" s="3"/>
      <c r="R884" s="4"/>
    </row>
    <row r="885" ht="17.25" customHeight="1">
      <c r="Q885" s="3"/>
      <c r="R885" s="4"/>
    </row>
    <row r="886" ht="17.25" customHeight="1">
      <c r="Q886" s="3"/>
      <c r="R886" s="4"/>
    </row>
    <row r="887" ht="17.25" customHeight="1">
      <c r="Q887" s="3"/>
      <c r="R887" s="4"/>
    </row>
    <row r="888" ht="17.25" customHeight="1">
      <c r="Q888" s="3"/>
      <c r="R888" s="4"/>
    </row>
    <row r="889" ht="17.25" customHeight="1">
      <c r="Q889" s="3"/>
      <c r="R889" s="4"/>
    </row>
    <row r="890" ht="17.25" customHeight="1">
      <c r="Q890" s="3"/>
      <c r="R890" s="4"/>
    </row>
    <row r="891" ht="17.25" customHeight="1">
      <c r="Q891" s="3"/>
      <c r="R891" s="4"/>
    </row>
    <row r="892" ht="17.25" customHeight="1">
      <c r="Q892" s="3"/>
      <c r="R892" s="4"/>
    </row>
    <row r="893" ht="17.25" customHeight="1">
      <c r="Q893" s="3"/>
      <c r="R893" s="4"/>
    </row>
    <row r="894" ht="17.25" customHeight="1">
      <c r="Q894" s="3"/>
      <c r="R894" s="4"/>
    </row>
    <row r="895" ht="17.25" customHeight="1">
      <c r="Q895" s="3"/>
      <c r="R895" s="4"/>
    </row>
    <row r="896" ht="17.25" customHeight="1">
      <c r="Q896" s="3"/>
      <c r="R896" s="4"/>
    </row>
    <row r="897" ht="17.25" customHeight="1">
      <c r="Q897" s="3"/>
      <c r="R897" s="4"/>
    </row>
    <row r="898" ht="17.25" customHeight="1">
      <c r="Q898" s="3"/>
      <c r="R898" s="4"/>
    </row>
    <row r="899" ht="17.25" customHeight="1">
      <c r="Q899" s="3"/>
      <c r="R899" s="4"/>
    </row>
    <row r="900" ht="17.25" customHeight="1">
      <c r="Q900" s="3"/>
      <c r="R900" s="4"/>
    </row>
    <row r="901" ht="17.25" customHeight="1">
      <c r="Q901" s="3"/>
      <c r="R901" s="4"/>
    </row>
    <row r="902" ht="17.25" customHeight="1">
      <c r="Q902" s="3"/>
      <c r="R902" s="4"/>
    </row>
    <row r="903" ht="17.25" customHeight="1">
      <c r="Q903" s="3"/>
      <c r="R903" s="4"/>
    </row>
    <row r="904" ht="17.25" customHeight="1">
      <c r="Q904" s="3"/>
      <c r="R904" s="4"/>
    </row>
    <row r="905" ht="17.25" customHeight="1">
      <c r="Q905" s="3"/>
      <c r="R905" s="4"/>
    </row>
    <row r="906" ht="17.25" customHeight="1">
      <c r="Q906" s="3"/>
      <c r="R906" s="4"/>
    </row>
    <row r="907" ht="17.25" customHeight="1">
      <c r="Q907" s="3"/>
      <c r="R907" s="4"/>
    </row>
    <row r="908" ht="17.25" customHeight="1">
      <c r="Q908" s="3"/>
      <c r="R908" s="4"/>
    </row>
    <row r="909" ht="17.25" customHeight="1">
      <c r="Q909" s="3"/>
      <c r="R909" s="4"/>
    </row>
    <row r="910" ht="17.25" customHeight="1">
      <c r="Q910" s="3"/>
      <c r="R910" s="4"/>
    </row>
    <row r="911" ht="17.25" customHeight="1">
      <c r="Q911" s="3"/>
      <c r="R911" s="4"/>
    </row>
    <row r="912" ht="17.25" customHeight="1">
      <c r="Q912" s="3"/>
      <c r="R912" s="4"/>
    </row>
    <row r="913" ht="17.25" customHeight="1">
      <c r="Q913" s="3"/>
      <c r="R913" s="4"/>
    </row>
    <row r="914" ht="17.25" customHeight="1">
      <c r="Q914" s="3"/>
      <c r="R914" s="4"/>
    </row>
    <row r="915" ht="17.25" customHeight="1">
      <c r="Q915" s="3"/>
      <c r="R915" s="4"/>
    </row>
    <row r="916" ht="17.25" customHeight="1">
      <c r="Q916" s="3"/>
      <c r="R916" s="4"/>
    </row>
    <row r="917" ht="17.25" customHeight="1">
      <c r="Q917" s="3"/>
      <c r="R917" s="4"/>
    </row>
    <row r="918" ht="17.25" customHeight="1">
      <c r="Q918" s="3"/>
      <c r="R918" s="4"/>
    </row>
    <row r="919" ht="17.25" customHeight="1">
      <c r="Q919" s="3"/>
      <c r="R919" s="4"/>
    </row>
    <row r="920" ht="17.25" customHeight="1">
      <c r="Q920" s="3"/>
      <c r="R920" s="4"/>
    </row>
    <row r="921" ht="17.25" customHeight="1">
      <c r="Q921" s="3"/>
      <c r="R921" s="4"/>
    </row>
    <row r="922" ht="17.25" customHeight="1">
      <c r="Q922" s="3"/>
      <c r="R922" s="4"/>
    </row>
    <row r="923" ht="17.25" customHeight="1">
      <c r="Q923" s="3"/>
      <c r="R923" s="4"/>
    </row>
    <row r="924" ht="17.25" customHeight="1">
      <c r="Q924" s="3"/>
      <c r="R924" s="4"/>
    </row>
    <row r="925" ht="17.25" customHeight="1">
      <c r="Q925" s="3"/>
      <c r="R925" s="4"/>
    </row>
    <row r="926" ht="17.25" customHeight="1">
      <c r="Q926" s="3"/>
      <c r="R926" s="4"/>
    </row>
    <row r="927" ht="17.25" customHeight="1">
      <c r="Q927" s="3"/>
      <c r="R927" s="4"/>
    </row>
    <row r="928" ht="17.25" customHeight="1">
      <c r="Q928" s="3"/>
      <c r="R928" s="4"/>
    </row>
    <row r="929" ht="17.25" customHeight="1">
      <c r="Q929" s="3"/>
      <c r="R929" s="4"/>
    </row>
    <row r="930" ht="17.25" customHeight="1">
      <c r="Q930" s="3"/>
      <c r="R930" s="4"/>
    </row>
    <row r="931" ht="17.25" customHeight="1">
      <c r="Q931" s="3"/>
      <c r="R931" s="4"/>
    </row>
    <row r="932" ht="17.25" customHeight="1">
      <c r="Q932" s="3"/>
      <c r="R932" s="4"/>
    </row>
    <row r="933" ht="17.25" customHeight="1">
      <c r="Q933" s="3"/>
      <c r="R933" s="4"/>
    </row>
    <row r="934" ht="17.25" customHeight="1">
      <c r="Q934" s="3"/>
      <c r="R934" s="4"/>
    </row>
    <row r="935" ht="17.25" customHeight="1">
      <c r="Q935" s="3"/>
      <c r="R935" s="4"/>
    </row>
    <row r="936" ht="17.25" customHeight="1">
      <c r="Q936" s="3"/>
      <c r="R936" s="4"/>
    </row>
    <row r="937" ht="17.25" customHeight="1">
      <c r="Q937" s="3"/>
      <c r="R937" s="4"/>
    </row>
    <row r="938" ht="17.25" customHeight="1">
      <c r="Q938" s="3"/>
      <c r="R938" s="4"/>
    </row>
    <row r="939" ht="17.25" customHeight="1">
      <c r="Q939" s="3"/>
      <c r="R939" s="4"/>
    </row>
    <row r="940" ht="17.25" customHeight="1">
      <c r="Q940" s="3"/>
      <c r="R940" s="4"/>
    </row>
    <row r="941" ht="17.25" customHeight="1">
      <c r="Q941" s="3"/>
      <c r="R941" s="4"/>
    </row>
    <row r="942" ht="17.25" customHeight="1">
      <c r="Q942" s="3"/>
      <c r="R942" s="4"/>
    </row>
    <row r="943" ht="17.25" customHeight="1">
      <c r="Q943" s="3"/>
      <c r="R943" s="4"/>
    </row>
    <row r="944" ht="17.25" customHeight="1">
      <c r="Q944" s="3"/>
      <c r="R944" s="4"/>
    </row>
    <row r="945" ht="17.25" customHeight="1">
      <c r="Q945" s="3"/>
      <c r="R945" s="4"/>
    </row>
    <row r="946" ht="17.25" customHeight="1">
      <c r="Q946" s="3"/>
      <c r="R946" s="4"/>
    </row>
    <row r="947" ht="17.25" customHeight="1">
      <c r="Q947" s="3"/>
      <c r="R947" s="4"/>
    </row>
    <row r="948" ht="17.25" customHeight="1">
      <c r="Q948" s="3"/>
      <c r="R948" s="4"/>
    </row>
    <row r="949" ht="17.25" customHeight="1">
      <c r="Q949" s="3"/>
      <c r="R949" s="4"/>
    </row>
    <row r="950" ht="17.25" customHeight="1">
      <c r="Q950" s="3"/>
      <c r="R950" s="4"/>
    </row>
    <row r="951" ht="17.25" customHeight="1">
      <c r="Q951" s="3"/>
      <c r="R951" s="4"/>
    </row>
    <row r="952" ht="17.25" customHeight="1">
      <c r="Q952" s="3"/>
      <c r="R952" s="4"/>
    </row>
    <row r="953" ht="17.25" customHeight="1">
      <c r="Q953" s="3"/>
      <c r="R953" s="4"/>
    </row>
    <row r="954" ht="17.25" customHeight="1">
      <c r="Q954" s="3"/>
      <c r="R954" s="4"/>
    </row>
    <row r="955" ht="17.25" customHeight="1">
      <c r="Q955" s="3"/>
      <c r="R955" s="4"/>
    </row>
    <row r="956" ht="17.25" customHeight="1">
      <c r="Q956" s="3"/>
      <c r="R956" s="4"/>
    </row>
    <row r="957" ht="17.25" customHeight="1">
      <c r="Q957" s="3"/>
      <c r="R957" s="4"/>
    </row>
    <row r="958" ht="17.25" customHeight="1">
      <c r="Q958" s="3"/>
      <c r="R958" s="4"/>
    </row>
    <row r="959" ht="17.25" customHeight="1">
      <c r="Q959" s="3"/>
      <c r="R959" s="4"/>
    </row>
    <row r="960" ht="17.25" customHeight="1">
      <c r="Q960" s="3"/>
      <c r="R960" s="4"/>
    </row>
    <row r="961" ht="17.25" customHeight="1">
      <c r="Q961" s="3"/>
      <c r="R961" s="4"/>
    </row>
    <row r="962" ht="17.25" customHeight="1">
      <c r="Q962" s="3"/>
      <c r="R962" s="4"/>
    </row>
    <row r="963" ht="17.25" customHeight="1">
      <c r="Q963" s="3"/>
      <c r="R963" s="4"/>
    </row>
    <row r="964" ht="17.25" customHeight="1">
      <c r="Q964" s="3"/>
      <c r="R964" s="4"/>
    </row>
    <row r="965" ht="17.25" customHeight="1">
      <c r="Q965" s="3"/>
      <c r="R965" s="4"/>
    </row>
    <row r="966" ht="17.25" customHeight="1">
      <c r="Q966" s="3"/>
      <c r="R966" s="4"/>
    </row>
    <row r="967" ht="17.25" customHeight="1">
      <c r="Q967" s="3"/>
      <c r="R967" s="4"/>
    </row>
    <row r="968" ht="17.25" customHeight="1">
      <c r="Q968" s="3"/>
      <c r="R968" s="4"/>
    </row>
    <row r="969" ht="17.25" customHeight="1">
      <c r="Q969" s="3"/>
      <c r="R969" s="4"/>
    </row>
    <row r="970" ht="17.25" customHeight="1">
      <c r="Q970" s="3"/>
      <c r="R970" s="4"/>
    </row>
    <row r="971" ht="17.25" customHeight="1">
      <c r="Q971" s="3"/>
      <c r="R971" s="4"/>
    </row>
    <row r="972" ht="17.25" customHeight="1">
      <c r="Q972" s="3"/>
      <c r="R972" s="4"/>
    </row>
    <row r="973" ht="17.25" customHeight="1">
      <c r="Q973" s="3"/>
      <c r="R973" s="4"/>
    </row>
    <row r="974" ht="17.25" customHeight="1">
      <c r="Q974" s="3"/>
      <c r="R974" s="4"/>
    </row>
    <row r="975" ht="17.25" customHeight="1">
      <c r="Q975" s="3"/>
      <c r="R975" s="4"/>
    </row>
    <row r="976" ht="17.25" customHeight="1">
      <c r="Q976" s="3"/>
      <c r="R976" s="4"/>
    </row>
    <row r="977" ht="17.25" customHeight="1">
      <c r="Q977" s="3"/>
      <c r="R977" s="4"/>
    </row>
    <row r="978" ht="17.25" customHeight="1">
      <c r="Q978" s="3"/>
      <c r="R978" s="4"/>
    </row>
    <row r="979" ht="17.25" customHeight="1">
      <c r="Q979" s="3"/>
      <c r="R979" s="4"/>
    </row>
    <row r="980" ht="17.25" customHeight="1">
      <c r="Q980" s="3"/>
      <c r="R980" s="4"/>
    </row>
    <row r="981" ht="17.25" customHeight="1">
      <c r="Q981" s="3"/>
      <c r="R981" s="4"/>
    </row>
    <row r="982" ht="17.25" customHeight="1">
      <c r="Q982" s="3"/>
      <c r="R982" s="4"/>
    </row>
    <row r="983" ht="17.25" customHeight="1">
      <c r="Q983" s="3"/>
      <c r="R983" s="4"/>
    </row>
    <row r="984" ht="17.25" customHeight="1">
      <c r="Q984" s="3"/>
      <c r="R984" s="4"/>
    </row>
    <row r="985" ht="17.25" customHeight="1">
      <c r="Q985" s="3"/>
      <c r="R985" s="4"/>
    </row>
    <row r="986" ht="17.25" customHeight="1">
      <c r="Q986" s="3"/>
      <c r="R986" s="4"/>
    </row>
    <row r="987" ht="17.25" customHeight="1">
      <c r="Q987" s="3"/>
      <c r="R987" s="4"/>
    </row>
    <row r="988" ht="17.25" customHeight="1">
      <c r="Q988" s="3"/>
      <c r="R988" s="4"/>
    </row>
    <row r="989" ht="17.25" customHeight="1">
      <c r="Q989" s="3"/>
      <c r="R989" s="4"/>
    </row>
    <row r="990" ht="17.25" customHeight="1">
      <c r="Q990" s="3"/>
      <c r="R990" s="4"/>
    </row>
    <row r="991" ht="17.25" customHeight="1">
      <c r="Q991" s="3"/>
      <c r="R991" s="4"/>
    </row>
    <row r="992" ht="17.25" customHeight="1">
      <c r="Q992" s="3"/>
      <c r="R992" s="4"/>
    </row>
    <row r="993" ht="17.25" customHeight="1">
      <c r="Q993" s="3"/>
      <c r="R993" s="4"/>
    </row>
    <row r="994" ht="17.25" customHeight="1">
      <c r="Q994" s="3"/>
      <c r="R994" s="4"/>
    </row>
    <row r="995" ht="17.25" customHeight="1">
      <c r="Q995" s="3"/>
      <c r="R995" s="4"/>
    </row>
    <row r="996" ht="17.25" customHeight="1">
      <c r="Q996" s="3"/>
      <c r="R996" s="4"/>
    </row>
    <row r="997" ht="17.25" customHeight="1">
      <c r="Q997" s="3"/>
      <c r="R997" s="4"/>
    </row>
    <row r="998" ht="17.25" customHeight="1">
      <c r="Q998" s="3"/>
      <c r="R998" s="4"/>
    </row>
    <row r="999" ht="17.25" customHeight="1">
      <c r="Q999" s="3"/>
      <c r="R999" s="4"/>
    </row>
    <row r="1000" ht="17.25" customHeight="1">
      <c r="Q1000" s="3"/>
      <c r="R1000" s="4"/>
    </row>
  </sheetData>
  <autoFilter ref="$A$1:$W$33"/>
  <mergeCells count="1">
    <mergeCell ref="AB2:AB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1.43"/>
    <col customWidth="1" min="4" max="5" width="16.29"/>
    <col customWidth="1" min="6" max="16" width="8.71"/>
    <col customWidth="1" min="17" max="17" width="8.86"/>
    <col customWidth="1" min="18" max="18" width="14.14"/>
    <col customWidth="1" min="19" max="24" width="8.71"/>
    <col customWidth="1" min="25" max="25" width="34.14"/>
    <col customWidth="1" min="26" max="28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130</v>
      </c>
      <c r="B2" s="2">
        <v>45804.8858912037</v>
      </c>
      <c r="C2" s="2">
        <v>45805.41601851852</v>
      </c>
      <c r="D2" s="2">
        <v>45807.38818287037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189</v>
      </c>
      <c r="K2" s="1" t="s">
        <v>191</v>
      </c>
      <c r="L2" s="1" t="s">
        <v>190</v>
      </c>
      <c r="M2" s="1">
        <v>7228.0</v>
      </c>
      <c r="N2" s="1" t="s">
        <v>192</v>
      </c>
      <c r="O2" s="1" t="s">
        <v>30</v>
      </c>
      <c r="P2" s="1" t="s">
        <v>54</v>
      </c>
      <c r="Q2" s="3">
        <v>1.0</v>
      </c>
      <c r="R2" s="4">
        <v>5.89065053093E11</v>
      </c>
      <c r="T2" s="1">
        <v>151000.0</v>
      </c>
      <c r="U2" s="1">
        <v>0.0</v>
      </c>
      <c r="V2" s="1">
        <v>0.0</v>
      </c>
      <c r="W2" s="1">
        <v>151000.0</v>
      </c>
      <c r="Y2" s="1" t="s">
        <v>113</v>
      </c>
      <c r="Z2" s="5">
        <f t="shared" ref="Z2:Z6" si="1">SUMIF($P$2:$P$583,Y2,$Q$2:$Q$583)</f>
        <v>0</v>
      </c>
      <c r="AA2" s="3">
        <f>Z2</f>
        <v>0</v>
      </c>
      <c r="AB2" s="6">
        <f>AA2+AA3+AA4+AA5</f>
        <v>2</v>
      </c>
    </row>
    <row r="3" ht="17.25" customHeight="1">
      <c r="A3" s="1" t="s">
        <v>130</v>
      </c>
      <c r="B3" s="2">
        <v>45805.44652777778</v>
      </c>
      <c r="C3" s="2">
        <v>45805.44652777778</v>
      </c>
      <c r="D3" s="2">
        <v>45807.38825231481</v>
      </c>
      <c r="F3" s="1" t="s">
        <v>225</v>
      </c>
      <c r="G3" s="1" t="s">
        <v>226</v>
      </c>
      <c r="H3" s="1" t="s">
        <v>227</v>
      </c>
      <c r="I3" s="1" t="s">
        <v>228</v>
      </c>
      <c r="J3" s="1" t="s">
        <v>227</v>
      </c>
      <c r="K3" s="1" t="s">
        <v>228</v>
      </c>
      <c r="L3" s="1" t="s">
        <v>228</v>
      </c>
      <c r="M3" s="1">
        <v>63124.0</v>
      </c>
      <c r="N3" s="1" t="s">
        <v>229</v>
      </c>
      <c r="O3" s="1" t="s">
        <v>30</v>
      </c>
      <c r="P3" s="1" t="s">
        <v>31</v>
      </c>
      <c r="Q3" s="3">
        <v>1.0</v>
      </c>
      <c r="R3" s="4">
        <v>5.89065051634E11</v>
      </c>
      <c r="T3" s="1">
        <v>310000.0</v>
      </c>
      <c r="U3" s="1">
        <v>0.0</v>
      </c>
      <c r="V3" s="1">
        <v>3000.0</v>
      </c>
      <c r="W3" s="1">
        <v>313000.0</v>
      </c>
      <c r="Y3" s="1" t="s">
        <v>54</v>
      </c>
      <c r="Z3" s="5">
        <f t="shared" si="1"/>
        <v>1</v>
      </c>
      <c r="AA3" s="3">
        <f>Z3*2</f>
        <v>2</v>
      </c>
    </row>
    <row r="4" ht="17.25" customHeight="1">
      <c r="A4" s="1" t="s">
        <v>130</v>
      </c>
      <c r="B4" s="2">
        <v>45805.502280092594</v>
      </c>
      <c r="C4" s="2">
        <v>45805.50734953704</v>
      </c>
      <c r="D4" s="2">
        <v>45807.388287037036</v>
      </c>
      <c r="F4" s="1" t="s">
        <v>230</v>
      </c>
      <c r="G4" s="1" t="s">
        <v>231</v>
      </c>
      <c r="H4" s="1" t="s">
        <v>232</v>
      </c>
      <c r="I4" s="1" t="s">
        <v>233</v>
      </c>
      <c r="J4" s="1" t="s">
        <v>232</v>
      </c>
      <c r="K4" s="1" t="s">
        <v>233</v>
      </c>
      <c r="L4" s="1" t="s">
        <v>233</v>
      </c>
      <c r="M4" s="1">
        <v>17332.0</v>
      </c>
      <c r="N4" s="1" t="s">
        <v>234</v>
      </c>
      <c r="O4" s="1" t="s">
        <v>30</v>
      </c>
      <c r="P4" s="1" t="s">
        <v>31</v>
      </c>
      <c r="Q4" s="3">
        <v>1.0</v>
      </c>
      <c r="R4" s="4">
        <v>5.89065052216E11</v>
      </c>
      <c r="T4" s="1">
        <v>356000.0</v>
      </c>
      <c r="U4" s="1">
        <v>0.0</v>
      </c>
      <c r="V4" s="1">
        <v>0.0</v>
      </c>
      <c r="W4" s="1">
        <v>355700.0</v>
      </c>
      <c r="Y4" s="1" t="s">
        <v>314</v>
      </c>
      <c r="Z4" s="5">
        <f t="shared" si="1"/>
        <v>0</v>
      </c>
      <c r="AA4" s="3">
        <f>Z4*3</f>
        <v>0</v>
      </c>
    </row>
    <row r="5" ht="17.25" customHeight="1">
      <c r="A5" s="1" t="s">
        <v>130</v>
      </c>
      <c r="B5" s="2">
        <v>45805.60136574074</v>
      </c>
      <c r="C5" s="2">
        <v>45805.60136574074</v>
      </c>
      <c r="D5" s="2">
        <v>45807.388344907406</v>
      </c>
      <c r="F5" s="1" t="s">
        <v>235</v>
      </c>
      <c r="G5" s="1" t="s">
        <v>236</v>
      </c>
      <c r="H5" s="1" t="s">
        <v>237</v>
      </c>
      <c r="I5" s="1" t="s">
        <v>238</v>
      </c>
      <c r="J5" s="1" t="s">
        <v>237</v>
      </c>
      <c r="K5" s="1" t="s">
        <v>238</v>
      </c>
      <c r="L5" s="1" t="s">
        <v>238</v>
      </c>
      <c r="M5" s="1">
        <v>4637.0</v>
      </c>
      <c r="N5" s="1" t="s">
        <v>239</v>
      </c>
      <c r="O5" s="1" t="s">
        <v>30</v>
      </c>
      <c r="P5" s="1" t="s">
        <v>31</v>
      </c>
      <c r="Q5" s="3">
        <v>1.0</v>
      </c>
      <c r="R5" s="4">
        <v>5.89065052404E11</v>
      </c>
      <c r="T5" s="1">
        <v>310000.0</v>
      </c>
      <c r="U5" s="1">
        <v>0.0</v>
      </c>
      <c r="V5" s="1">
        <v>0.0</v>
      </c>
      <c r="W5" s="1">
        <v>310000.0</v>
      </c>
      <c r="Y5" s="1" t="s">
        <v>153</v>
      </c>
      <c r="Z5" s="5">
        <f t="shared" si="1"/>
        <v>0</v>
      </c>
      <c r="AA5" s="3">
        <f>Z5*4</f>
        <v>0</v>
      </c>
    </row>
    <row r="6" ht="17.25" customHeight="1">
      <c r="A6" s="1" t="s">
        <v>130</v>
      </c>
      <c r="B6" s="2">
        <v>45805.736238425925</v>
      </c>
      <c r="C6" s="2">
        <v>45805.736238425925</v>
      </c>
      <c r="D6" s="2">
        <v>45807.388391203705</v>
      </c>
      <c r="F6" s="1" t="s">
        <v>240</v>
      </c>
      <c r="G6" s="1" t="s">
        <v>241</v>
      </c>
      <c r="H6" s="1" t="s">
        <v>242</v>
      </c>
      <c r="I6" s="1" t="s">
        <v>243</v>
      </c>
      <c r="J6" s="1" t="s">
        <v>242</v>
      </c>
      <c r="K6" s="1" t="s">
        <v>244</v>
      </c>
      <c r="L6" s="1" t="s">
        <v>243</v>
      </c>
      <c r="M6" s="1">
        <v>46296.0</v>
      </c>
      <c r="N6" s="1" t="s">
        <v>245</v>
      </c>
      <c r="O6" s="1" t="s">
        <v>30</v>
      </c>
      <c r="P6" s="1" t="s">
        <v>31</v>
      </c>
      <c r="Q6" s="3">
        <v>1.0</v>
      </c>
      <c r="R6" s="4">
        <v>5.8906505166E11</v>
      </c>
      <c r="T6" s="1">
        <v>175000.0</v>
      </c>
      <c r="U6" s="1">
        <v>0.0</v>
      </c>
      <c r="V6" s="1">
        <v>0.0</v>
      </c>
      <c r="W6" s="1">
        <v>174400.0</v>
      </c>
      <c r="Y6" s="7" t="s">
        <v>31</v>
      </c>
      <c r="Z6" s="6">
        <f t="shared" si="1"/>
        <v>7</v>
      </c>
      <c r="AA6" s="3"/>
      <c r="AB6" s="3"/>
    </row>
    <row r="7" ht="17.25" customHeight="1">
      <c r="A7" s="1" t="s">
        <v>130</v>
      </c>
      <c r="B7" s="2">
        <v>45805.793333333335</v>
      </c>
      <c r="C7" s="2">
        <v>45805.793333333335</v>
      </c>
      <c r="D7" s="2">
        <v>45807.38841435185</v>
      </c>
      <c r="F7" s="1" t="s">
        <v>246</v>
      </c>
      <c r="G7" s="1" t="s">
        <v>247</v>
      </c>
      <c r="H7" s="1" t="s">
        <v>248</v>
      </c>
      <c r="I7" s="1" t="s">
        <v>249</v>
      </c>
      <c r="J7" s="1" t="s">
        <v>248</v>
      </c>
      <c r="K7" s="1" t="s">
        <v>197</v>
      </c>
      <c r="L7" s="1" t="s">
        <v>249</v>
      </c>
      <c r="M7" s="1">
        <v>48454.0</v>
      </c>
      <c r="N7" s="1" t="s">
        <v>250</v>
      </c>
      <c r="O7" s="1" t="s">
        <v>30</v>
      </c>
      <c r="P7" s="1" t="s">
        <v>31</v>
      </c>
      <c r="Q7" s="3">
        <v>1.0</v>
      </c>
      <c r="R7" s="4">
        <v>5.89065051656E11</v>
      </c>
      <c r="T7" s="1">
        <v>175000.0</v>
      </c>
      <c r="U7" s="1">
        <v>0.0</v>
      </c>
      <c r="V7" s="1">
        <v>0.0</v>
      </c>
      <c r="W7" s="1">
        <v>175000.0</v>
      </c>
    </row>
    <row r="8" ht="17.25" customHeight="1">
      <c r="A8" s="1" t="s">
        <v>130</v>
      </c>
      <c r="B8" s="2">
        <v>45805.80646990741</v>
      </c>
      <c r="C8" s="2">
        <v>45805.80646990741</v>
      </c>
      <c r="D8" s="2">
        <v>45807.38842592593</v>
      </c>
      <c r="F8" s="1" t="s">
        <v>251</v>
      </c>
      <c r="G8" s="1" t="s">
        <v>252</v>
      </c>
      <c r="H8" s="1" t="s">
        <v>253</v>
      </c>
      <c r="I8" s="1" t="s">
        <v>254</v>
      </c>
      <c r="J8" s="1" t="s">
        <v>253</v>
      </c>
      <c r="K8" s="1" t="s">
        <v>254</v>
      </c>
      <c r="L8" s="1" t="s">
        <v>254</v>
      </c>
      <c r="M8" s="1">
        <v>21117.0</v>
      </c>
      <c r="N8" s="1" t="s">
        <v>255</v>
      </c>
      <c r="O8" s="1" t="s">
        <v>30</v>
      </c>
      <c r="P8" s="1" t="s">
        <v>31</v>
      </c>
      <c r="Q8" s="3">
        <v>1.0</v>
      </c>
      <c r="R8" s="4">
        <v>5.89065051682E11</v>
      </c>
      <c r="T8" s="1">
        <v>175000.0</v>
      </c>
      <c r="U8" s="1">
        <v>0.0</v>
      </c>
      <c r="V8" s="1">
        <v>0.0</v>
      </c>
      <c r="W8" s="1">
        <v>175000.0</v>
      </c>
    </row>
    <row r="9" ht="17.25" customHeight="1">
      <c r="A9" s="1" t="s">
        <v>130</v>
      </c>
      <c r="B9" s="2">
        <v>45806.32549768518</v>
      </c>
      <c r="C9" s="2">
        <v>45806.32549768518</v>
      </c>
      <c r="D9" s="2">
        <v>45807.38858796296</v>
      </c>
      <c r="F9" s="1" t="s">
        <v>256</v>
      </c>
      <c r="G9" s="1" t="s">
        <v>257</v>
      </c>
      <c r="H9" s="1" t="s">
        <v>258</v>
      </c>
      <c r="I9" s="1" t="s">
        <v>259</v>
      </c>
      <c r="J9" s="1" t="s">
        <v>258</v>
      </c>
      <c r="K9" s="1" t="s">
        <v>259</v>
      </c>
      <c r="L9" s="1" t="s">
        <v>259</v>
      </c>
      <c r="M9" s="1">
        <v>39902.0</v>
      </c>
      <c r="N9" s="1" t="s">
        <v>260</v>
      </c>
      <c r="O9" s="1" t="s">
        <v>30</v>
      </c>
      <c r="P9" s="1" t="s">
        <v>31</v>
      </c>
      <c r="Q9" s="3">
        <v>1.0</v>
      </c>
      <c r="R9" s="4">
        <v>5.89065051671E11</v>
      </c>
      <c r="T9" s="1">
        <v>175000.0</v>
      </c>
      <c r="U9" s="1">
        <v>0.0</v>
      </c>
      <c r="V9" s="1">
        <v>0.0</v>
      </c>
      <c r="W9" s="1">
        <v>175000.0</v>
      </c>
    </row>
    <row r="10" ht="17.25" customHeight="1">
      <c r="Q10" s="3"/>
      <c r="R10" s="4"/>
    </row>
    <row r="11" ht="17.25" customHeight="1">
      <c r="Q11" s="3"/>
      <c r="R11" s="4"/>
    </row>
    <row r="12" ht="17.25" customHeight="1">
      <c r="Q12" s="3"/>
      <c r="R12" s="4"/>
    </row>
    <row r="13" ht="17.25" customHeight="1">
      <c r="Q13" s="3"/>
      <c r="R13" s="4"/>
    </row>
    <row r="14" ht="17.25" customHeight="1">
      <c r="Q14" s="3"/>
      <c r="R14" s="4"/>
    </row>
    <row r="15" ht="17.25" customHeight="1">
      <c r="Q15" s="3"/>
      <c r="R15" s="4"/>
    </row>
    <row r="16" ht="17.25" customHeight="1">
      <c r="Q16" s="3"/>
      <c r="R16" s="4"/>
    </row>
    <row r="17" ht="17.25" customHeight="1">
      <c r="Q17" s="3"/>
      <c r="R17" s="4"/>
    </row>
    <row r="18" ht="17.25" customHeight="1">
      <c r="Q18" s="3"/>
      <c r="R18" s="4"/>
    </row>
    <row r="19" ht="17.25" customHeight="1">
      <c r="Q19" s="3"/>
      <c r="R19" s="4"/>
    </row>
    <row r="20" ht="17.25" customHeight="1">
      <c r="Q20" s="3"/>
      <c r="R20" s="4"/>
    </row>
    <row r="21" ht="17.25" customHeight="1">
      <c r="Q21" s="3"/>
      <c r="R21" s="4"/>
    </row>
    <row r="22" ht="17.25" customHeight="1">
      <c r="Q22" s="3"/>
      <c r="R22" s="4"/>
    </row>
    <row r="23" ht="17.25" customHeight="1">
      <c r="Q23" s="3"/>
      <c r="R23" s="4"/>
    </row>
    <row r="24" ht="17.25" customHeight="1">
      <c r="Q24" s="3"/>
      <c r="R24" s="4"/>
    </row>
    <row r="25" ht="17.25" customHeight="1">
      <c r="Q25" s="3"/>
      <c r="R25" s="4"/>
    </row>
    <row r="26" ht="17.25" customHeight="1">
      <c r="Q26" s="3"/>
      <c r="R26" s="4"/>
    </row>
    <row r="27" ht="17.25" customHeight="1">
      <c r="Q27" s="3"/>
      <c r="R27" s="4"/>
    </row>
    <row r="28" ht="17.25" customHeight="1">
      <c r="Q28" s="3"/>
      <c r="R28" s="4"/>
    </row>
    <row r="29" ht="17.25" customHeight="1">
      <c r="Q29" s="3"/>
      <c r="R29" s="4"/>
    </row>
    <row r="30" ht="17.25" customHeight="1">
      <c r="Q30" s="3"/>
      <c r="R30" s="4"/>
    </row>
    <row r="31" ht="17.25" customHeight="1">
      <c r="Q31" s="3"/>
      <c r="R31" s="4"/>
    </row>
    <row r="32" ht="17.25" customHeight="1">
      <c r="Q32" s="3"/>
      <c r="R32" s="4"/>
    </row>
    <row r="33" ht="17.25" customHeight="1">
      <c r="Q33" s="3"/>
      <c r="R33" s="4"/>
    </row>
    <row r="34" ht="17.25" customHeight="1">
      <c r="Q34" s="3"/>
      <c r="R34" s="4"/>
    </row>
    <row r="35" ht="17.25" customHeight="1">
      <c r="Q35" s="3"/>
      <c r="R35" s="4"/>
    </row>
    <row r="36" ht="17.25" customHeight="1">
      <c r="Q36" s="3"/>
      <c r="R36" s="4"/>
    </row>
    <row r="37" ht="17.25" customHeight="1">
      <c r="Q37" s="3"/>
      <c r="R37" s="4"/>
    </row>
    <row r="38" ht="17.25" customHeight="1">
      <c r="Q38" s="3"/>
      <c r="R38" s="4"/>
    </row>
    <row r="39" ht="17.25" customHeight="1">
      <c r="Q39" s="3"/>
      <c r="R39" s="4"/>
    </row>
    <row r="40" ht="17.25" customHeight="1">
      <c r="Q40" s="3"/>
      <c r="R40" s="4"/>
    </row>
    <row r="41" ht="17.25" customHeight="1">
      <c r="Q41" s="3"/>
      <c r="R41" s="4"/>
    </row>
    <row r="42" ht="17.25" customHeight="1">
      <c r="Q42" s="3"/>
      <c r="R42" s="4"/>
    </row>
    <row r="43" ht="17.25" customHeight="1">
      <c r="Q43" s="3"/>
      <c r="R43" s="4"/>
    </row>
    <row r="44" ht="17.25" customHeight="1">
      <c r="Q44" s="3"/>
      <c r="R44" s="4"/>
    </row>
    <row r="45" ht="17.25" customHeight="1">
      <c r="Q45" s="3"/>
      <c r="R45" s="4"/>
    </row>
    <row r="46" ht="17.25" customHeight="1">
      <c r="Q46" s="3"/>
      <c r="R46" s="4"/>
    </row>
    <row r="47" ht="17.25" customHeight="1">
      <c r="Q47" s="3"/>
      <c r="R47" s="4"/>
    </row>
    <row r="48" ht="17.25" customHeight="1">
      <c r="Q48" s="3"/>
      <c r="R48" s="4"/>
    </row>
    <row r="49" ht="17.25" customHeight="1">
      <c r="Q49" s="3"/>
      <c r="R49" s="4"/>
    </row>
    <row r="50" ht="17.25" customHeight="1">
      <c r="Q50" s="3"/>
      <c r="R50" s="4"/>
    </row>
    <row r="51" ht="17.25" customHeight="1">
      <c r="Q51" s="3"/>
      <c r="R51" s="4"/>
    </row>
    <row r="52" ht="17.25" customHeight="1">
      <c r="Q52" s="3"/>
      <c r="R52" s="4"/>
    </row>
    <row r="53" ht="17.25" customHeight="1">
      <c r="Q53" s="3"/>
      <c r="R53" s="4"/>
    </row>
    <row r="54" ht="17.25" customHeight="1">
      <c r="Q54" s="3"/>
      <c r="R54" s="4"/>
    </row>
    <row r="55" ht="17.25" customHeight="1">
      <c r="Q55" s="3"/>
      <c r="R55" s="4"/>
    </row>
    <row r="56" ht="17.25" customHeight="1">
      <c r="Q56" s="3"/>
      <c r="R56" s="4"/>
    </row>
    <row r="57" ht="17.25" customHeight="1">
      <c r="Q57" s="3"/>
      <c r="R57" s="4"/>
    </row>
    <row r="58" ht="17.25" customHeight="1">
      <c r="Q58" s="3"/>
      <c r="R58" s="4"/>
    </row>
    <row r="59" ht="17.25" customHeight="1">
      <c r="Q59" s="3"/>
      <c r="R59" s="4"/>
    </row>
    <row r="60" ht="17.25" customHeight="1">
      <c r="Q60" s="3"/>
      <c r="R60" s="4"/>
    </row>
    <row r="61" ht="17.25" customHeight="1">
      <c r="Q61" s="3"/>
      <c r="R61" s="4"/>
    </row>
    <row r="62" ht="17.25" customHeight="1">
      <c r="Q62" s="3"/>
      <c r="R62" s="4"/>
    </row>
    <row r="63" ht="17.25" customHeight="1">
      <c r="Q63" s="3"/>
      <c r="R63" s="4"/>
    </row>
    <row r="64" ht="17.25" customHeight="1">
      <c r="Q64" s="3"/>
      <c r="R64" s="4"/>
    </row>
    <row r="65" ht="17.25" customHeight="1">
      <c r="Q65" s="3"/>
      <c r="R65" s="4"/>
    </row>
    <row r="66" ht="17.25" customHeight="1">
      <c r="Q66" s="3"/>
      <c r="R66" s="4"/>
    </row>
    <row r="67" ht="17.25" customHeight="1">
      <c r="Q67" s="3"/>
      <c r="R67" s="4"/>
    </row>
    <row r="68" ht="17.25" customHeight="1">
      <c r="Q68" s="3"/>
      <c r="R68" s="4"/>
    </row>
    <row r="69" ht="17.25" customHeight="1">
      <c r="Q69" s="3"/>
      <c r="R69" s="4"/>
    </row>
    <row r="70" ht="17.25" customHeight="1">
      <c r="Q70" s="3"/>
      <c r="R70" s="4"/>
    </row>
    <row r="71" ht="17.25" customHeight="1">
      <c r="Q71" s="3"/>
      <c r="R71" s="4"/>
    </row>
    <row r="72" ht="17.25" customHeight="1">
      <c r="Q72" s="3"/>
      <c r="R72" s="4"/>
    </row>
    <row r="73" ht="17.25" customHeight="1">
      <c r="Q73" s="3"/>
      <c r="R73" s="4"/>
    </row>
    <row r="74" ht="17.25" customHeight="1">
      <c r="Q74" s="3"/>
      <c r="R74" s="4"/>
    </row>
    <row r="75" ht="17.25" customHeight="1">
      <c r="Q75" s="3"/>
      <c r="R75" s="4"/>
    </row>
    <row r="76" ht="17.25" customHeight="1">
      <c r="Q76" s="3"/>
      <c r="R76" s="4"/>
    </row>
    <row r="77" ht="17.25" customHeight="1">
      <c r="Q77" s="3"/>
      <c r="R77" s="4"/>
    </row>
    <row r="78" ht="17.25" customHeight="1">
      <c r="Q78" s="3"/>
      <c r="R78" s="4"/>
    </row>
    <row r="79" ht="17.25" customHeight="1">
      <c r="Q79" s="3"/>
      <c r="R79" s="4"/>
    </row>
    <row r="80" ht="17.25" customHeight="1">
      <c r="Q80" s="3"/>
      <c r="R80" s="4"/>
    </row>
    <row r="81" ht="17.25" customHeight="1">
      <c r="Q81" s="3"/>
      <c r="R81" s="4"/>
    </row>
    <row r="82" ht="17.25" customHeight="1">
      <c r="Q82" s="3"/>
      <c r="R82" s="4"/>
    </row>
    <row r="83" ht="17.25" customHeight="1">
      <c r="Q83" s="3"/>
      <c r="R83" s="4"/>
    </row>
    <row r="84" ht="17.25" customHeight="1">
      <c r="Q84" s="3"/>
      <c r="R84" s="4"/>
    </row>
    <row r="85" ht="17.25" customHeight="1">
      <c r="Q85" s="3"/>
      <c r="R85" s="4"/>
    </row>
    <row r="86" ht="17.25" customHeight="1">
      <c r="Q86" s="3"/>
      <c r="R86" s="4"/>
    </row>
    <row r="87" ht="17.25" customHeight="1">
      <c r="Q87" s="3"/>
      <c r="R87" s="4"/>
    </row>
    <row r="88" ht="17.25" customHeight="1">
      <c r="Q88" s="3"/>
      <c r="R88" s="4"/>
    </row>
    <row r="89" ht="17.25" customHeight="1">
      <c r="Q89" s="3"/>
      <c r="R89" s="4"/>
    </row>
    <row r="90" ht="17.25" customHeight="1">
      <c r="Q90" s="3"/>
      <c r="R90" s="4"/>
    </row>
    <row r="91" ht="17.25" customHeight="1">
      <c r="Q91" s="3"/>
      <c r="R91" s="4"/>
    </row>
    <row r="92" ht="17.25" customHeight="1">
      <c r="Q92" s="3"/>
      <c r="R92" s="4"/>
    </row>
    <row r="93" ht="17.25" customHeight="1">
      <c r="Q93" s="3"/>
      <c r="R93" s="4"/>
    </row>
    <row r="94" ht="17.25" customHeight="1">
      <c r="Q94" s="3"/>
      <c r="R94" s="4"/>
    </row>
    <row r="95" ht="17.25" customHeight="1">
      <c r="Q95" s="3"/>
      <c r="R95" s="4"/>
    </row>
    <row r="96" ht="17.25" customHeight="1">
      <c r="Q96" s="3"/>
      <c r="R96" s="4"/>
    </row>
    <row r="97" ht="17.25" customHeight="1">
      <c r="Q97" s="3"/>
      <c r="R97" s="4"/>
    </row>
    <row r="98" ht="17.25" customHeight="1">
      <c r="Q98" s="3"/>
      <c r="R98" s="4"/>
    </row>
    <row r="99" ht="17.25" customHeight="1">
      <c r="Q99" s="3"/>
      <c r="R99" s="4"/>
    </row>
    <row r="100" ht="17.25" customHeight="1">
      <c r="Q100" s="3"/>
      <c r="R100" s="4"/>
    </row>
    <row r="101" ht="17.25" customHeight="1">
      <c r="Q101" s="3"/>
      <c r="R101" s="4"/>
    </row>
    <row r="102" ht="17.25" customHeight="1">
      <c r="Q102" s="3"/>
      <c r="R102" s="4"/>
    </row>
    <row r="103" ht="17.25" customHeight="1">
      <c r="Q103" s="3"/>
      <c r="R103" s="4"/>
    </row>
    <row r="104" ht="17.25" customHeight="1">
      <c r="Q104" s="3"/>
      <c r="R104" s="4"/>
    </row>
    <row r="105" ht="17.25" customHeight="1">
      <c r="Q105" s="3"/>
      <c r="R105" s="4"/>
    </row>
    <row r="106" ht="17.25" customHeight="1">
      <c r="Q106" s="3"/>
      <c r="R106" s="4"/>
    </row>
    <row r="107" ht="17.25" customHeight="1">
      <c r="Q107" s="3"/>
      <c r="R107" s="4"/>
    </row>
    <row r="108" ht="17.25" customHeight="1">
      <c r="Q108" s="3"/>
      <c r="R108" s="4"/>
    </row>
    <row r="109" ht="17.25" customHeight="1">
      <c r="Q109" s="3"/>
      <c r="R109" s="4"/>
    </row>
    <row r="110" ht="17.25" customHeight="1">
      <c r="Q110" s="3"/>
      <c r="R110" s="4"/>
    </row>
    <row r="111" ht="17.25" customHeight="1">
      <c r="Q111" s="3"/>
      <c r="R111" s="4"/>
    </row>
    <row r="112" ht="17.25" customHeight="1">
      <c r="Q112" s="3"/>
      <c r="R112" s="4"/>
    </row>
    <row r="113" ht="17.25" customHeight="1">
      <c r="Q113" s="3"/>
      <c r="R113" s="4"/>
    </row>
    <row r="114" ht="17.25" customHeight="1">
      <c r="Q114" s="3"/>
      <c r="R114" s="4"/>
    </row>
    <row r="115" ht="17.25" customHeight="1">
      <c r="Q115" s="3"/>
      <c r="R115" s="4"/>
    </row>
    <row r="116" ht="17.25" customHeight="1">
      <c r="Q116" s="3"/>
      <c r="R116" s="4"/>
    </row>
    <row r="117" ht="17.25" customHeight="1">
      <c r="Q117" s="3"/>
      <c r="R117" s="4"/>
    </row>
    <row r="118" ht="17.25" customHeight="1">
      <c r="Q118" s="3"/>
      <c r="R118" s="4"/>
    </row>
    <row r="119" ht="17.25" customHeight="1">
      <c r="Q119" s="3"/>
      <c r="R119" s="4"/>
    </row>
    <row r="120" ht="17.25" customHeight="1">
      <c r="Q120" s="3"/>
      <c r="R120" s="4"/>
    </row>
    <row r="121" ht="17.25" customHeight="1">
      <c r="Q121" s="3"/>
      <c r="R121" s="4"/>
    </row>
    <row r="122" ht="17.25" customHeight="1">
      <c r="Q122" s="3"/>
      <c r="R122" s="4"/>
    </row>
    <row r="123" ht="17.25" customHeight="1">
      <c r="Q123" s="3"/>
      <c r="R123" s="4"/>
    </row>
    <row r="124" ht="17.25" customHeight="1">
      <c r="Q124" s="3"/>
      <c r="R124" s="4"/>
    </row>
    <row r="125" ht="17.25" customHeight="1">
      <c r="Q125" s="3"/>
      <c r="R125" s="4"/>
    </row>
    <row r="126" ht="17.25" customHeight="1">
      <c r="Q126" s="3"/>
      <c r="R126" s="4"/>
    </row>
    <row r="127" ht="17.25" customHeight="1">
      <c r="Q127" s="3"/>
      <c r="R127" s="4"/>
    </row>
    <row r="128" ht="17.25" customHeight="1">
      <c r="Q128" s="3"/>
      <c r="R128" s="4"/>
    </row>
    <row r="129" ht="17.25" customHeight="1">
      <c r="Q129" s="3"/>
      <c r="R129" s="4"/>
    </row>
    <row r="130" ht="17.25" customHeight="1">
      <c r="Q130" s="3"/>
      <c r="R130" s="4"/>
    </row>
    <row r="131" ht="17.25" customHeight="1">
      <c r="Q131" s="3"/>
      <c r="R131" s="4"/>
    </row>
    <row r="132" ht="17.25" customHeight="1">
      <c r="Q132" s="3"/>
      <c r="R132" s="4"/>
    </row>
    <row r="133" ht="17.25" customHeight="1">
      <c r="Q133" s="3"/>
      <c r="R133" s="4"/>
    </row>
    <row r="134" ht="17.25" customHeight="1">
      <c r="Q134" s="3"/>
      <c r="R134" s="4"/>
    </row>
    <row r="135" ht="17.25" customHeight="1">
      <c r="Q135" s="3"/>
      <c r="R135" s="4"/>
    </row>
    <row r="136" ht="17.25" customHeight="1">
      <c r="Q136" s="3"/>
      <c r="R136" s="4"/>
    </row>
    <row r="137" ht="17.25" customHeight="1">
      <c r="Q137" s="3"/>
      <c r="R137" s="4"/>
    </row>
    <row r="138" ht="17.25" customHeight="1">
      <c r="Q138" s="3"/>
      <c r="R138" s="4"/>
    </row>
    <row r="139" ht="17.25" customHeight="1">
      <c r="Q139" s="3"/>
      <c r="R139" s="4"/>
    </row>
    <row r="140" ht="17.25" customHeight="1">
      <c r="Q140" s="3"/>
      <c r="R140" s="4"/>
    </row>
    <row r="141" ht="17.25" customHeight="1">
      <c r="Q141" s="3"/>
      <c r="R141" s="4"/>
    </row>
    <row r="142" ht="17.25" customHeight="1">
      <c r="Q142" s="3"/>
      <c r="R142" s="4"/>
    </row>
    <row r="143" ht="17.25" customHeight="1">
      <c r="Q143" s="3"/>
      <c r="R143" s="4"/>
    </row>
    <row r="144" ht="17.25" customHeight="1">
      <c r="Q144" s="3"/>
      <c r="R144" s="4"/>
    </row>
    <row r="145" ht="17.25" customHeight="1">
      <c r="Q145" s="3"/>
      <c r="R145" s="4"/>
    </row>
    <row r="146" ht="17.25" customHeight="1">
      <c r="Q146" s="3"/>
      <c r="R146" s="4"/>
    </row>
    <row r="147" ht="17.25" customHeight="1">
      <c r="Q147" s="3"/>
      <c r="R147" s="4"/>
    </row>
    <row r="148" ht="17.25" customHeight="1">
      <c r="Q148" s="3"/>
      <c r="R148" s="4"/>
    </row>
    <row r="149" ht="17.25" customHeight="1">
      <c r="Q149" s="3"/>
      <c r="R149" s="4"/>
    </row>
    <row r="150" ht="17.25" customHeight="1">
      <c r="Q150" s="3"/>
      <c r="R150" s="4"/>
    </row>
    <row r="151" ht="17.25" customHeight="1">
      <c r="Q151" s="3"/>
      <c r="R151" s="4"/>
    </row>
    <row r="152" ht="17.25" customHeight="1">
      <c r="Q152" s="3"/>
      <c r="R152" s="4"/>
    </row>
    <row r="153" ht="17.25" customHeight="1">
      <c r="Q153" s="3"/>
      <c r="R153" s="4"/>
    </row>
    <row r="154" ht="17.25" customHeight="1">
      <c r="Q154" s="3"/>
      <c r="R154" s="4"/>
    </row>
    <row r="155" ht="17.25" customHeight="1">
      <c r="Q155" s="3"/>
      <c r="R155" s="4"/>
    </row>
    <row r="156" ht="17.25" customHeight="1">
      <c r="Q156" s="3"/>
      <c r="R156" s="4"/>
    </row>
    <row r="157" ht="17.25" customHeight="1">
      <c r="Q157" s="3"/>
      <c r="R157" s="4"/>
    </row>
    <row r="158" ht="17.25" customHeight="1">
      <c r="Q158" s="3"/>
      <c r="R158" s="4"/>
    </row>
    <row r="159" ht="17.25" customHeight="1">
      <c r="Q159" s="3"/>
      <c r="R159" s="4"/>
    </row>
    <row r="160" ht="17.25" customHeight="1">
      <c r="Q160" s="3"/>
      <c r="R160" s="4"/>
    </row>
    <row r="161" ht="17.25" customHeight="1">
      <c r="Q161" s="3"/>
      <c r="R161" s="4"/>
    </row>
    <row r="162" ht="17.25" customHeight="1">
      <c r="Q162" s="3"/>
      <c r="R162" s="4"/>
    </row>
    <row r="163" ht="17.25" customHeight="1">
      <c r="Q163" s="3"/>
      <c r="R163" s="4"/>
    </row>
    <row r="164" ht="17.25" customHeight="1">
      <c r="Q164" s="3"/>
      <c r="R164" s="4"/>
    </row>
    <row r="165" ht="17.25" customHeight="1">
      <c r="Q165" s="3"/>
      <c r="R165" s="4"/>
    </row>
    <row r="166" ht="17.25" customHeight="1">
      <c r="Q166" s="3"/>
      <c r="R166" s="4"/>
    </row>
    <row r="167" ht="17.25" customHeight="1">
      <c r="Q167" s="3"/>
      <c r="R167" s="4"/>
    </row>
    <row r="168" ht="17.25" customHeight="1">
      <c r="Q168" s="3"/>
      <c r="R168" s="4"/>
    </row>
    <row r="169" ht="17.25" customHeight="1">
      <c r="Q169" s="3"/>
      <c r="R169" s="4"/>
    </row>
    <row r="170" ht="17.25" customHeight="1">
      <c r="Q170" s="3"/>
      <c r="R170" s="4"/>
    </row>
    <row r="171" ht="17.25" customHeight="1">
      <c r="Q171" s="3"/>
      <c r="R171" s="4"/>
    </row>
    <row r="172" ht="17.25" customHeight="1">
      <c r="Q172" s="3"/>
      <c r="R172" s="4"/>
    </row>
    <row r="173" ht="17.25" customHeight="1">
      <c r="Q173" s="3"/>
      <c r="R173" s="4"/>
    </row>
    <row r="174" ht="17.25" customHeight="1">
      <c r="Q174" s="3"/>
      <c r="R174" s="4"/>
    </row>
    <row r="175" ht="17.25" customHeight="1">
      <c r="Q175" s="3"/>
      <c r="R175" s="4"/>
    </row>
    <row r="176" ht="17.25" customHeight="1">
      <c r="Q176" s="3"/>
      <c r="R176" s="4"/>
    </row>
    <row r="177" ht="17.25" customHeight="1">
      <c r="Q177" s="3"/>
      <c r="R177" s="4"/>
    </row>
    <row r="178" ht="17.25" customHeight="1">
      <c r="Q178" s="3"/>
      <c r="R178" s="4"/>
    </row>
    <row r="179" ht="17.25" customHeight="1">
      <c r="Q179" s="3"/>
      <c r="R179" s="4"/>
    </row>
    <row r="180" ht="17.25" customHeight="1">
      <c r="Q180" s="3"/>
      <c r="R180" s="4"/>
    </row>
    <row r="181" ht="17.25" customHeight="1">
      <c r="Q181" s="3"/>
      <c r="R181" s="4"/>
    </row>
    <row r="182" ht="17.25" customHeight="1">
      <c r="Q182" s="3"/>
      <c r="R182" s="4"/>
    </row>
    <row r="183" ht="17.25" customHeight="1">
      <c r="Q183" s="3"/>
      <c r="R183" s="4"/>
    </row>
    <row r="184" ht="17.25" customHeight="1">
      <c r="Q184" s="3"/>
      <c r="R184" s="4"/>
    </row>
    <row r="185" ht="17.25" customHeight="1">
      <c r="Q185" s="3"/>
      <c r="R185" s="4"/>
    </row>
    <row r="186" ht="17.25" customHeight="1">
      <c r="Q186" s="3"/>
      <c r="R186" s="4"/>
    </row>
    <row r="187" ht="17.25" customHeight="1">
      <c r="Q187" s="3"/>
      <c r="R187" s="4"/>
    </row>
    <row r="188" ht="17.25" customHeight="1">
      <c r="Q188" s="3"/>
      <c r="R188" s="4"/>
    </row>
    <row r="189" ht="17.25" customHeight="1">
      <c r="Q189" s="3"/>
      <c r="R189" s="4"/>
    </row>
    <row r="190" ht="17.25" customHeight="1">
      <c r="Q190" s="3"/>
      <c r="R190" s="4"/>
    </row>
    <row r="191" ht="17.25" customHeight="1">
      <c r="Q191" s="3"/>
      <c r="R191" s="4"/>
    </row>
    <row r="192" ht="17.25" customHeight="1">
      <c r="Q192" s="3"/>
      <c r="R192" s="4"/>
    </row>
    <row r="193" ht="17.25" customHeight="1">
      <c r="Q193" s="3"/>
      <c r="R193" s="4"/>
    </row>
    <row r="194" ht="17.25" customHeight="1">
      <c r="Q194" s="3"/>
      <c r="R194" s="4"/>
    </row>
    <row r="195" ht="17.25" customHeight="1">
      <c r="Q195" s="3"/>
      <c r="R195" s="4"/>
    </row>
    <row r="196" ht="17.25" customHeight="1">
      <c r="Q196" s="3"/>
      <c r="R196" s="4"/>
    </row>
    <row r="197" ht="17.25" customHeight="1">
      <c r="Q197" s="3"/>
      <c r="R197" s="4"/>
    </row>
    <row r="198" ht="17.25" customHeight="1">
      <c r="Q198" s="3"/>
      <c r="R198" s="4"/>
    </row>
    <row r="199" ht="17.25" customHeight="1">
      <c r="Q199" s="3"/>
      <c r="R199" s="4"/>
    </row>
    <row r="200" ht="17.25" customHeight="1">
      <c r="Q200" s="3"/>
      <c r="R200" s="4"/>
    </row>
    <row r="201" ht="17.25" customHeight="1">
      <c r="Q201" s="3"/>
      <c r="R201" s="4"/>
    </row>
    <row r="202" ht="17.25" customHeight="1">
      <c r="Q202" s="3"/>
      <c r="R202" s="4"/>
    </row>
    <row r="203" ht="17.25" customHeight="1">
      <c r="Q203" s="3"/>
      <c r="R203" s="4"/>
    </row>
    <row r="204" ht="17.25" customHeight="1">
      <c r="Q204" s="3"/>
      <c r="R204" s="4"/>
    </row>
    <row r="205" ht="17.25" customHeight="1">
      <c r="Q205" s="3"/>
      <c r="R205" s="4"/>
    </row>
    <row r="206" ht="17.25" customHeight="1">
      <c r="Q206" s="3"/>
      <c r="R206" s="4"/>
    </row>
    <row r="207" ht="17.25" customHeight="1">
      <c r="Q207" s="3"/>
      <c r="R207" s="4"/>
    </row>
    <row r="208" ht="17.25" customHeight="1">
      <c r="Q208" s="3"/>
      <c r="R208" s="4"/>
    </row>
    <row r="209" ht="17.25" customHeight="1">
      <c r="Q209" s="3"/>
      <c r="R209" s="4"/>
    </row>
    <row r="210" ht="17.25" customHeight="1">
      <c r="Q210" s="3"/>
      <c r="R210" s="4"/>
    </row>
    <row r="211" ht="17.25" customHeight="1">
      <c r="Q211" s="3"/>
      <c r="R211" s="4"/>
    </row>
    <row r="212" ht="17.25" customHeight="1">
      <c r="Q212" s="3"/>
      <c r="R212" s="4"/>
    </row>
    <row r="213" ht="17.25" customHeight="1">
      <c r="Q213" s="3"/>
      <c r="R213" s="4"/>
    </row>
    <row r="214" ht="17.25" customHeight="1">
      <c r="Q214" s="3"/>
      <c r="R214" s="4"/>
    </row>
    <row r="215" ht="17.25" customHeight="1">
      <c r="Q215" s="3"/>
      <c r="R215" s="4"/>
    </row>
    <row r="216" ht="17.25" customHeight="1">
      <c r="Q216" s="3"/>
      <c r="R216" s="4"/>
    </row>
    <row r="217" ht="17.25" customHeight="1">
      <c r="Q217" s="3"/>
      <c r="R217" s="4"/>
    </row>
    <row r="218" ht="17.25" customHeight="1">
      <c r="Q218" s="3"/>
      <c r="R218" s="4"/>
    </row>
    <row r="219" ht="17.25" customHeight="1">
      <c r="Q219" s="3"/>
      <c r="R219" s="4"/>
    </row>
    <row r="220" ht="17.25" customHeight="1">
      <c r="Q220" s="3"/>
      <c r="R220" s="4"/>
    </row>
    <row r="221" ht="17.25" customHeight="1">
      <c r="Q221" s="3"/>
      <c r="R221" s="4"/>
    </row>
    <row r="222" ht="17.25" customHeight="1">
      <c r="Q222" s="3"/>
      <c r="R222" s="4"/>
    </row>
    <row r="223" ht="17.25" customHeight="1">
      <c r="Q223" s="3"/>
      <c r="R223" s="4"/>
    </row>
    <row r="224" ht="17.25" customHeight="1">
      <c r="Q224" s="3"/>
      <c r="R224" s="4"/>
    </row>
    <row r="225" ht="17.25" customHeight="1">
      <c r="Q225" s="3"/>
      <c r="R225" s="4"/>
    </row>
    <row r="226" ht="17.25" customHeight="1">
      <c r="Q226" s="3"/>
      <c r="R226" s="4"/>
    </row>
    <row r="227" ht="17.25" customHeight="1">
      <c r="Q227" s="3"/>
      <c r="R227" s="4"/>
    </row>
    <row r="228" ht="17.25" customHeight="1">
      <c r="Q228" s="3"/>
      <c r="R228" s="4"/>
    </row>
    <row r="229" ht="17.25" customHeight="1">
      <c r="Q229" s="3"/>
      <c r="R229" s="4"/>
    </row>
    <row r="230" ht="17.25" customHeight="1">
      <c r="Q230" s="3"/>
      <c r="R230" s="4"/>
    </row>
    <row r="231" ht="17.25" customHeight="1">
      <c r="Q231" s="3"/>
      <c r="R231" s="4"/>
    </row>
    <row r="232" ht="17.25" customHeight="1">
      <c r="Q232" s="3"/>
      <c r="R232" s="4"/>
    </row>
    <row r="233" ht="17.25" customHeight="1">
      <c r="Q233" s="3"/>
      <c r="R233" s="4"/>
    </row>
    <row r="234" ht="17.25" customHeight="1">
      <c r="Q234" s="3"/>
      <c r="R234" s="4"/>
    </row>
    <row r="235" ht="17.25" customHeight="1">
      <c r="Q235" s="3"/>
      <c r="R235" s="4"/>
    </row>
    <row r="236" ht="17.25" customHeight="1">
      <c r="Q236" s="3"/>
      <c r="R236" s="4"/>
    </row>
    <row r="237" ht="17.25" customHeight="1">
      <c r="Q237" s="3"/>
      <c r="R237" s="4"/>
    </row>
    <row r="238" ht="17.25" customHeight="1">
      <c r="Q238" s="3"/>
      <c r="R238" s="4"/>
    </row>
    <row r="239" ht="17.25" customHeight="1">
      <c r="Q239" s="3"/>
      <c r="R239" s="4"/>
    </row>
    <row r="240" ht="17.25" customHeight="1">
      <c r="Q240" s="3"/>
      <c r="R240" s="4"/>
    </row>
    <row r="241" ht="17.25" customHeight="1">
      <c r="Q241" s="3"/>
      <c r="R241" s="4"/>
    </row>
    <row r="242" ht="17.25" customHeight="1">
      <c r="Q242" s="3"/>
      <c r="R242" s="4"/>
    </row>
    <row r="243" ht="17.25" customHeight="1">
      <c r="Q243" s="3"/>
      <c r="R243" s="4"/>
    </row>
    <row r="244" ht="17.25" customHeight="1">
      <c r="Q244" s="3"/>
      <c r="R244" s="4"/>
    </row>
    <row r="245" ht="17.25" customHeight="1">
      <c r="Q245" s="3"/>
      <c r="R245" s="4"/>
    </row>
    <row r="246" ht="17.25" customHeight="1">
      <c r="Q246" s="3"/>
      <c r="R246" s="4"/>
    </row>
    <row r="247" ht="17.25" customHeight="1">
      <c r="Q247" s="3"/>
      <c r="R247" s="4"/>
    </row>
    <row r="248" ht="17.25" customHeight="1">
      <c r="Q248" s="3"/>
      <c r="R248" s="4"/>
    </row>
    <row r="249" ht="17.25" customHeight="1">
      <c r="Q249" s="3"/>
      <c r="R249" s="4"/>
    </row>
    <row r="250" ht="17.25" customHeight="1">
      <c r="Q250" s="3"/>
      <c r="R250" s="4"/>
    </row>
    <row r="251" ht="17.25" customHeight="1">
      <c r="Q251" s="3"/>
      <c r="R251" s="4"/>
    </row>
    <row r="252" ht="17.25" customHeight="1">
      <c r="Q252" s="3"/>
      <c r="R252" s="4"/>
    </row>
    <row r="253" ht="17.25" customHeight="1">
      <c r="Q253" s="3"/>
      <c r="R253" s="4"/>
    </row>
    <row r="254" ht="17.25" customHeight="1">
      <c r="Q254" s="3"/>
      <c r="R254" s="4"/>
    </row>
    <row r="255" ht="17.25" customHeight="1">
      <c r="Q255" s="3"/>
      <c r="R255" s="4"/>
    </row>
    <row r="256" ht="17.25" customHeight="1">
      <c r="Q256" s="3"/>
      <c r="R256" s="4"/>
    </row>
    <row r="257" ht="17.25" customHeight="1">
      <c r="Q257" s="3"/>
      <c r="R257" s="4"/>
    </row>
    <row r="258" ht="17.25" customHeight="1">
      <c r="Q258" s="3"/>
      <c r="R258" s="4"/>
    </row>
    <row r="259" ht="17.25" customHeight="1">
      <c r="Q259" s="3"/>
      <c r="R259" s="4"/>
    </row>
    <row r="260" ht="17.25" customHeight="1">
      <c r="Q260" s="3"/>
      <c r="R260" s="4"/>
    </row>
    <row r="261" ht="17.25" customHeight="1">
      <c r="Q261" s="3"/>
      <c r="R261" s="4"/>
    </row>
    <row r="262" ht="17.25" customHeight="1">
      <c r="Q262" s="3"/>
      <c r="R262" s="4"/>
    </row>
    <row r="263" ht="17.25" customHeight="1">
      <c r="Q263" s="3"/>
      <c r="R263" s="4"/>
    </row>
    <row r="264" ht="17.25" customHeight="1">
      <c r="Q264" s="3"/>
      <c r="R264" s="4"/>
    </row>
    <row r="265" ht="17.25" customHeight="1">
      <c r="Q265" s="3"/>
      <c r="R265" s="4"/>
    </row>
    <row r="266" ht="17.25" customHeight="1">
      <c r="Q266" s="3"/>
      <c r="R266" s="4"/>
    </row>
    <row r="267" ht="17.25" customHeight="1">
      <c r="Q267" s="3"/>
      <c r="R267" s="4"/>
    </row>
    <row r="268" ht="17.25" customHeight="1">
      <c r="Q268" s="3"/>
      <c r="R268" s="4"/>
    </row>
    <row r="269" ht="17.25" customHeight="1">
      <c r="Q269" s="3"/>
      <c r="R269" s="4"/>
    </row>
    <row r="270" ht="17.25" customHeight="1">
      <c r="Q270" s="3"/>
      <c r="R270" s="4"/>
    </row>
    <row r="271" ht="17.25" customHeight="1">
      <c r="Q271" s="3"/>
      <c r="R271" s="4"/>
    </row>
    <row r="272" ht="17.25" customHeight="1">
      <c r="Q272" s="3"/>
      <c r="R272" s="4"/>
    </row>
    <row r="273" ht="17.25" customHeight="1">
      <c r="Q273" s="3"/>
      <c r="R273" s="4"/>
    </row>
    <row r="274" ht="17.25" customHeight="1">
      <c r="Q274" s="3"/>
      <c r="R274" s="4"/>
    </row>
    <row r="275" ht="17.25" customHeight="1">
      <c r="Q275" s="3"/>
      <c r="R275" s="4"/>
    </row>
    <row r="276" ht="17.25" customHeight="1">
      <c r="Q276" s="3"/>
      <c r="R276" s="4"/>
    </row>
    <row r="277" ht="17.25" customHeight="1">
      <c r="Q277" s="3"/>
      <c r="R277" s="4"/>
    </row>
    <row r="278" ht="17.25" customHeight="1">
      <c r="Q278" s="3"/>
      <c r="R278" s="4"/>
    </row>
    <row r="279" ht="17.25" customHeight="1">
      <c r="Q279" s="3"/>
      <c r="R279" s="4"/>
    </row>
    <row r="280" ht="17.25" customHeight="1">
      <c r="Q280" s="3"/>
      <c r="R280" s="4"/>
    </row>
    <row r="281" ht="17.25" customHeight="1">
      <c r="Q281" s="3"/>
      <c r="R281" s="4"/>
    </row>
    <row r="282" ht="17.25" customHeight="1">
      <c r="Q282" s="3"/>
      <c r="R282" s="4"/>
    </row>
    <row r="283" ht="17.25" customHeight="1">
      <c r="Q283" s="3"/>
      <c r="R283" s="4"/>
    </row>
    <row r="284" ht="17.25" customHeight="1">
      <c r="Q284" s="3"/>
      <c r="R284" s="4"/>
    </row>
    <row r="285" ht="17.25" customHeight="1">
      <c r="Q285" s="3"/>
      <c r="R285" s="4"/>
    </row>
    <row r="286" ht="17.25" customHeight="1">
      <c r="Q286" s="3"/>
      <c r="R286" s="4"/>
    </row>
    <row r="287" ht="17.25" customHeight="1">
      <c r="Q287" s="3"/>
      <c r="R287" s="4"/>
    </row>
    <row r="288" ht="17.25" customHeight="1">
      <c r="Q288" s="3"/>
      <c r="R288" s="4"/>
    </row>
    <row r="289" ht="17.25" customHeight="1">
      <c r="Q289" s="3"/>
      <c r="R289" s="4"/>
    </row>
    <row r="290" ht="17.25" customHeight="1">
      <c r="Q290" s="3"/>
      <c r="R290" s="4"/>
    </row>
    <row r="291" ht="17.25" customHeight="1">
      <c r="Q291" s="3"/>
      <c r="R291" s="4"/>
    </row>
    <row r="292" ht="17.25" customHeight="1">
      <c r="Q292" s="3"/>
      <c r="R292" s="4"/>
    </row>
    <row r="293" ht="17.25" customHeight="1">
      <c r="Q293" s="3"/>
      <c r="R293" s="4"/>
    </row>
    <row r="294" ht="17.25" customHeight="1">
      <c r="Q294" s="3"/>
      <c r="R294" s="4"/>
    </row>
    <row r="295" ht="17.25" customHeight="1">
      <c r="Q295" s="3"/>
      <c r="R295" s="4"/>
    </row>
    <row r="296" ht="17.25" customHeight="1">
      <c r="Q296" s="3"/>
      <c r="R296" s="4"/>
    </row>
    <row r="297" ht="17.25" customHeight="1">
      <c r="Q297" s="3"/>
      <c r="R297" s="4"/>
    </row>
    <row r="298" ht="17.25" customHeight="1">
      <c r="Q298" s="3"/>
      <c r="R298" s="4"/>
    </row>
    <row r="299" ht="17.25" customHeight="1">
      <c r="Q299" s="3"/>
      <c r="R299" s="4"/>
    </row>
    <row r="300" ht="17.25" customHeight="1">
      <c r="Q300" s="3"/>
      <c r="R300" s="4"/>
    </row>
    <row r="301" ht="17.25" customHeight="1">
      <c r="Q301" s="3"/>
      <c r="R301" s="4"/>
    </row>
    <row r="302" ht="17.25" customHeight="1">
      <c r="Q302" s="3"/>
      <c r="R302" s="4"/>
    </row>
    <row r="303" ht="17.25" customHeight="1">
      <c r="Q303" s="3"/>
      <c r="R303" s="4"/>
    </row>
    <row r="304" ht="17.25" customHeight="1">
      <c r="Q304" s="3"/>
      <c r="R304" s="4"/>
    </row>
    <row r="305" ht="17.25" customHeight="1">
      <c r="Q305" s="3"/>
      <c r="R305" s="4"/>
    </row>
    <row r="306" ht="17.25" customHeight="1">
      <c r="Q306" s="3"/>
      <c r="R306" s="4"/>
    </row>
    <row r="307" ht="17.25" customHeight="1">
      <c r="Q307" s="3"/>
      <c r="R307" s="4"/>
    </row>
    <row r="308" ht="17.25" customHeight="1">
      <c r="Q308" s="3"/>
      <c r="R308" s="4"/>
    </row>
    <row r="309" ht="17.25" customHeight="1">
      <c r="Q309" s="3"/>
      <c r="R309" s="4"/>
    </row>
    <row r="310" ht="17.25" customHeight="1">
      <c r="Q310" s="3"/>
      <c r="R310" s="4"/>
    </row>
    <row r="311" ht="17.25" customHeight="1">
      <c r="Q311" s="3"/>
      <c r="R311" s="4"/>
    </row>
    <row r="312" ht="17.25" customHeight="1">
      <c r="Q312" s="3"/>
      <c r="R312" s="4"/>
    </row>
    <row r="313" ht="17.25" customHeight="1">
      <c r="Q313" s="3"/>
      <c r="R313" s="4"/>
    </row>
    <row r="314" ht="17.25" customHeight="1">
      <c r="Q314" s="3"/>
      <c r="R314" s="4"/>
    </row>
    <row r="315" ht="17.25" customHeight="1">
      <c r="Q315" s="3"/>
      <c r="R315" s="4"/>
    </row>
    <row r="316" ht="17.25" customHeight="1">
      <c r="Q316" s="3"/>
      <c r="R316" s="4"/>
    </row>
    <row r="317" ht="17.25" customHeight="1">
      <c r="Q317" s="3"/>
      <c r="R317" s="4"/>
    </row>
    <row r="318" ht="17.25" customHeight="1">
      <c r="Q318" s="3"/>
      <c r="R318" s="4"/>
    </row>
    <row r="319" ht="17.25" customHeight="1">
      <c r="Q319" s="3"/>
      <c r="R319" s="4"/>
    </row>
    <row r="320" ht="17.25" customHeight="1">
      <c r="Q320" s="3"/>
      <c r="R320" s="4"/>
    </row>
    <row r="321" ht="17.25" customHeight="1">
      <c r="Q321" s="3"/>
      <c r="R321" s="4"/>
    </row>
    <row r="322" ht="17.25" customHeight="1">
      <c r="Q322" s="3"/>
      <c r="R322" s="4"/>
    </row>
    <row r="323" ht="17.25" customHeight="1">
      <c r="Q323" s="3"/>
      <c r="R323" s="4"/>
    </row>
    <row r="324" ht="17.25" customHeight="1">
      <c r="Q324" s="3"/>
      <c r="R324" s="4"/>
    </row>
    <row r="325" ht="17.25" customHeight="1">
      <c r="Q325" s="3"/>
      <c r="R325" s="4"/>
    </row>
    <row r="326" ht="17.25" customHeight="1">
      <c r="Q326" s="3"/>
      <c r="R326" s="4"/>
    </row>
    <row r="327" ht="17.25" customHeight="1">
      <c r="Q327" s="3"/>
      <c r="R327" s="4"/>
    </row>
    <row r="328" ht="17.25" customHeight="1">
      <c r="Q328" s="3"/>
      <c r="R328" s="4"/>
    </row>
    <row r="329" ht="17.25" customHeight="1">
      <c r="Q329" s="3"/>
      <c r="R329" s="4"/>
    </row>
    <row r="330" ht="17.25" customHeight="1">
      <c r="Q330" s="3"/>
      <c r="R330" s="4"/>
    </row>
    <row r="331" ht="17.25" customHeight="1">
      <c r="Q331" s="3"/>
      <c r="R331" s="4"/>
    </row>
    <row r="332" ht="17.25" customHeight="1">
      <c r="Q332" s="3"/>
      <c r="R332" s="4"/>
    </row>
    <row r="333" ht="17.25" customHeight="1">
      <c r="Q333" s="3"/>
      <c r="R333" s="4"/>
    </row>
    <row r="334" ht="17.25" customHeight="1">
      <c r="Q334" s="3"/>
      <c r="R334" s="4"/>
    </row>
    <row r="335" ht="17.25" customHeight="1">
      <c r="Q335" s="3"/>
      <c r="R335" s="4"/>
    </row>
    <row r="336" ht="17.25" customHeight="1">
      <c r="Q336" s="3"/>
      <c r="R336" s="4"/>
    </row>
    <row r="337" ht="17.25" customHeight="1">
      <c r="Q337" s="3"/>
      <c r="R337" s="4"/>
    </row>
    <row r="338" ht="17.25" customHeight="1">
      <c r="Q338" s="3"/>
      <c r="R338" s="4"/>
    </row>
    <row r="339" ht="17.25" customHeight="1">
      <c r="Q339" s="3"/>
      <c r="R339" s="4"/>
    </row>
    <row r="340" ht="17.25" customHeight="1">
      <c r="Q340" s="3"/>
      <c r="R340" s="4"/>
    </row>
    <row r="341" ht="17.25" customHeight="1">
      <c r="Q341" s="3"/>
      <c r="R341" s="4"/>
    </row>
    <row r="342" ht="17.25" customHeight="1">
      <c r="Q342" s="3"/>
      <c r="R342" s="4"/>
    </row>
    <row r="343" ht="17.25" customHeight="1">
      <c r="Q343" s="3"/>
      <c r="R343" s="4"/>
    </row>
    <row r="344" ht="17.25" customHeight="1">
      <c r="Q344" s="3"/>
      <c r="R344" s="4"/>
    </row>
    <row r="345" ht="17.25" customHeight="1">
      <c r="Q345" s="3"/>
      <c r="R345" s="4"/>
    </row>
    <row r="346" ht="17.25" customHeight="1">
      <c r="Q346" s="3"/>
      <c r="R346" s="4"/>
    </row>
    <row r="347" ht="17.25" customHeight="1">
      <c r="Q347" s="3"/>
      <c r="R347" s="4"/>
    </row>
    <row r="348" ht="17.25" customHeight="1">
      <c r="Q348" s="3"/>
      <c r="R348" s="4"/>
    </row>
    <row r="349" ht="17.25" customHeight="1">
      <c r="Q349" s="3"/>
      <c r="R349" s="4"/>
    </row>
    <row r="350" ht="17.25" customHeight="1">
      <c r="Q350" s="3"/>
      <c r="R350" s="4"/>
    </row>
    <row r="351" ht="17.25" customHeight="1">
      <c r="Q351" s="3"/>
      <c r="R351" s="4"/>
    </row>
    <row r="352" ht="17.25" customHeight="1">
      <c r="Q352" s="3"/>
      <c r="R352" s="4"/>
    </row>
    <row r="353" ht="17.25" customHeight="1">
      <c r="Q353" s="3"/>
      <c r="R353" s="4"/>
    </row>
    <row r="354" ht="17.25" customHeight="1">
      <c r="Q354" s="3"/>
      <c r="R354" s="4"/>
    </row>
    <row r="355" ht="17.25" customHeight="1">
      <c r="Q355" s="3"/>
      <c r="R355" s="4"/>
    </row>
    <row r="356" ht="17.25" customHeight="1">
      <c r="Q356" s="3"/>
      <c r="R356" s="4"/>
    </row>
    <row r="357" ht="17.25" customHeight="1">
      <c r="Q357" s="3"/>
      <c r="R357" s="4"/>
    </row>
    <row r="358" ht="17.25" customHeight="1">
      <c r="Q358" s="3"/>
      <c r="R358" s="4"/>
    </row>
    <row r="359" ht="17.25" customHeight="1">
      <c r="Q359" s="3"/>
      <c r="R359" s="4"/>
    </row>
    <row r="360" ht="17.25" customHeight="1">
      <c r="Q360" s="3"/>
      <c r="R360" s="4"/>
    </row>
    <row r="361" ht="17.25" customHeight="1">
      <c r="Q361" s="3"/>
      <c r="R361" s="4"/>
    </row>
    <row r="362" ht="17.25" customHeight="1">
      <c r="Q362" s="3"/>
      <c r="R362" s="4"/>
    </row>
    <row r="363" ht="17.25" customHeight="1">
      <c r="Q363" s="3"/>
      <c r="R363" s="4"/>
    </row>
    <row r="364" ht="17.25" customHeight="1">
      <c r="Q364" s="3"/>
      <c r="R364" s="4"/>
    </row>
    <row r="365" ht="17.25" customHeight="1">
      <c r="Q365" s="3"/>
      <c r="R365" s="4"/>
    </row>
    <row r="366" ht="17.25" customHeight="1">
      <c r="Q366" s="3"/>
      <c r="R366" s="4"/>
    </row>
    <row r="367" ht="17.25" customHeight="1">
      <c r="Q367" s="3"/>
      <c r="R367" s="4"/>
    </row>
    <row r="368" ht="17.25" customHeight="1">
      <c r="Q368" s="3"/>
      <c r="R368" s="4"/>
    </row>
    <row r="369" ht="17.25" customHeight="1">
      <c r="Q369" s="3"/>
      <c r="R369" s="4"/>
    </row>
    <row r="370" ht="17.25" customHeight="1">
      <c r="Q370" s="3"/>
      <c r="R370" s="4"/>
    </row>
    <row r="371" ht="17.25" customHeight="1">
      <c r="Q371" s="3"/>
      <c r="R371" s="4"/>
    </row>
    <row r="372" ht="17.25" customHeight="1">
      <c r="Q372" s="3"/>
      <c r="R372" s="4"/>
    </row>
    <row r="373" ht="17.25" customHeight="1">
      <c r="Q373" s="3"/>
      <c r="R373" s="4"/>
    </row>
    <row r="374" ht="17.25" customHeight="1">
      <c r="Q374" s="3"/>
      <c r="R374" s="4"/>
    </row>
    <row r="375" ht="17.25" customHeight="1">
      <c r="Q375" s="3"/>
      <c r="R375" s="4"/>
    </row>
    <row r="376" ht="17.25" customHeight="1">
      <c r="Q376" s="3"/>
      <c r="R376" s="4"/>
    </row>
    <row r="377" ht="17.25" customHeight="1">
      <c r="Q377" s="3"/>
      <c r="R377" s="4"/>
    </row>
    <row r="378" ht="17.25" customHeight="1">
      <c r="Q378" s="3"/>
      <c r="R378" s="4"/>
    </row>
    <row r="379" ht="17.25" customHeight="1">
      <c r="Q379" s="3"/>
      <c r="R379" s="4"/>
    </row>
    <row r="380" ht="17.25" customHeight="1">
      <c r="Q380" s="3"/>
      <c r="R380" s="4"/>
    </row>
    <row r="381" ht="17.25" customHeight="1">
      <c r="Q381" s="3"/>
      <c r="R381" s="4"/>
    </row>
    <row r="382" ht="17.25" customHeight="1">
      <c r="Q382" s="3"/>
      <c r="R382" s="4"/>
    </row>
    <row r="383" ht="17.25" customHeight="1">
      <c r="Q383" s="3"/>
      <c r="R383" s="4"/>
    </row>
    <row r="384" ht="17.25" customHeight="1">
      <c r="Q384" s="3"/>
      <c r="R384" s="4"/>
    </row>
    <row r="385" ht="17.25" customHeight="1">
      <c r="Q385" s="3"/>
      <c r="R385" s="4"/>
    </row>
    <row r="386" ht="17.25" customHeight="1">
      <c r="Q386" s="3"/>
      <c r="R386" s="4"/>
    </row>
    <row r="387" ht="17.25" customHeight="1">
      <c r="Q387" s="3"/>
      <c r="R387" s="4"/>
    </row>
    <row r="388" ht="17.25" customHeight="1">
      <c r="Q388" s="3"/>
      <c r="R388" s="4"/>
    </row>
    <row r="389" ht="17.25" customHeight="1">
      <c r="Q389" s="3"/>
      <c r="R389" s="4"/>
    </row>
    <row r="390" ht="17.25" customHeight="1">
      <c r="Q390" s="3"/>
      <c r="R390" s="4"/>
    </row>
    <row r="391" ht="17.25" customHeight="1">
      <c r="Q391" s="3"/>
      <c r="R391" s="4"/>
    </row>
    <row r="392" ht="17.25" customHeight="1">
      <c r="Q392" s="3"/>
      <c r="R392" s="4"/>
    </row>
    <row r="393" ht="17.25" customHeight="1">
      <c r="Q393" s="3"/>
      <c r="R393" s="4"/>
    </row>
    <row r="394" ht="17.25" customHeight="1">
      <c r="Q394" s="3"/>
      <c r="R394" s="4"/>
    </row>
    <row r="395" ht="17.25" customHeight="1">
      <c r="Q395" s="3"/>
      <c r="R395" s="4"/>
    </row>
    <row r="396" ht="17.25" customHeight="1">
      <c r="Q396" s="3"/>
      <c r="R396" s="4"/>
    </row>
    <row r="397" ht="17.25" customHeight="1">
      <c r="Q397" s="3"/>
      <c r="R397" s="4"/>
    </row>
    <row r="398" ht="17.25" customHeight="1">
      <c r="Q398" s="3"/>
      <c r="R398" s="4"/>
    </row>
    <row r="399" ht="17.25" customHeight="1">
      <c r="Q399" s="3"/>
      <c r="R399" s="4"/>
    </row>
    <row r="400" ht="17.25" customHeight="1">
      <c r="Q400" s="3"/>
      <c r="R400" s="4"/>
    </row>
    <row r="401" ht="17.25" customHeight="1">
      <c r="Q401" s="3"/>
      <c r="R401" s="4"/>
    </row>
    <row r="402" ht="17.25" customHeight="1">
      <c r="Q402" s="3"/>
      <c r="R402" s="4"/>
    </row>
    <row r="403" ht="17.25" customHeight="1">
      <c r="Q403" s="3"/>
      <c r="R403" s="4"/>
    </row>
    <row r="404" ht="17.25" customHeight="1">
      <c r="Q404" s="3"/>
      <c r="R404" s="4"/>
    </row>
    <row r="405" ht="17.25" customHeight="1">
      <c r="Q405" s="3"/>
      <c r="R405" s="4"/>
    </row>
    <row r="406" ht="17.25" customHeight="1">
      <c r="Q406" s="3"/>
      <c r="R406" s="4"/>
    </row>
    <row r="407" ht="17.25" customHeight="1">
      <c r="Q407" s="3"/>
      <c r="R407" s="4"/>
    </row>
    <row r="408" ht="17.25" customHeight="1">
      <c r="Q408" s="3"/>
      <c r="R408" s="4"/>
    </row>
    <row r="409" ht="17.25" customHeight="1">
      <c r="Q409" s="3"/>
      <c r="R409" s="4"/>
    </row>
    <row r="410" ht="17.25" customHeight="1">
      <c r="Q410" s="3"/>
      <c r="R410" s="4"/>
    </row>
    <row r="411" ht="17.25" customHeight="1">
      <c r="Q411" s="3"/>
      <c r="R411" s="4"/>
    </row>
    <row r="412" ht="17.25" customHeight="1">
      <c r="Q412" s="3"/>
      <c r="R412" s="4"/>
    </row>
    <row r="413" ht="17.25" customHeight="1">
      <c r="Q413" s="3"/>
      <c r="R413" s="4"/>
    </row>
    <row r="414" ht="17.25" customHeight="1">
      <c r="Q414" s="3"/>
      <c r="R414" s="4"/>
    </row>
    <row r="415" ht="17.25" customHeight="1">
      <c r="Q415" s="3"/>
      <c r="R415" s="4"/>
    </row>
    <row r="416" ht="17.25" customHeight="1">
      <c r="Q416" s="3"/>
      <c r="R416" s="4"/>
    </row>
    <row r="417" ht="17.25" customHeight="1">
      <c r="Q417" s="3"/>
      <c r="R417" s="4"/>
    </row>
    <row r="418" ht="17.25" customHeight="1">
      <c r="Q418" s="3"/>
      <c r="R418" s="4"/>
    </row>
    <row r="419" ht="17.25" customHeight="1">
      <c r="Q419" s="3"/>
      <c r="R419" s="4"/>
    </row>
    <row r="420" ht="17.25" customHeight="1">
      <c r="Q420" s="3"/>
      <c r="R420" s="4"/>
    </row>
    <row r="421" ht="17.25" customHeight="1">
      <c r="Q421" s="3"/>
      <c r="R421" s="4"/>
    </row>
    <row r="422" ht="17.25" customHeight="1">
      <c r="Q422" s="3"/>
      <c r="R422" s="4"/>
    </row>
    <row r="423" ht="17.25" customHeight="1">
      <c r="Q423" s="3"/>
      <c r="R423" s="4"/>
    </row>
    <row r="424" ht="17.25" customHeight="1">
      <c r="Q424" s="3"/>
      <c r="R424" s="4"/>
    </row>
    <row r="425" ht="17.25" customHeight="1">
      <c r="Q425" s="3"/>
      <c r="R425" s="4"/>
    </row>
    <row r="426" ht="17.25" customHeight="1">
      <c r="Q426" s="3"/>
      <c r="R426" s="4"/>
    </row>
    <row r="427" ht="17.25" customHeight="1">
      <c r="Q427" s="3"/>
      <c r="R427" s="4"/>
    </row>
    <row r="428" ht="17.25" customHeight="1">
      <c r="Q428" s="3"/>
      <c r="R428" s="4"/>
    </row>
    <row r="429" ht="17.25" customHeight="1">
      <c r="Q429" s="3"/>
      <c r="R429" s="4"/>
    </row>
    <row r="430" ht="17.25" customHeight="1">
      <c r="Q430" s="3"/>
      <c r="R430" s="4"/>
    </row>
    <row r="431" ht="17.25" customHeight="1">
      <c r="Q431" s="3"/>
      <c r="R431" s="4"/>
    </row>
    <row r="432" ht="17.25" customHeight="1">
      <c r="Q432" s="3"/>
      <c r="R432" s="4"/>
    </row>
    <row r="433" ht="17.25" customHeight="1">
      <c r="Q433" s="3"/>
      <c r="R433" s="4"/>
    </row>
    <row r="434" ht="17.25" customHeight="1">
      <c r="Q434" s="3"/>
      <c r="R434" s="4"/>
    </row>
    <row r="435" ht="17.25" customHeight="1">
      <c r="Q435" s="3"/>
      <c r="R435" s="4"/>
    </row>
    <row r="436" ht="17.25" customHeight="1">
      <c r="Q436" s="3"/>
      <c r="R436" s="4"/>
    </row>
    <row r="437" ht="17.25" customHeight="1">
      <c r="Q437" s="3"/>
      <c r="R437" s="4"/>
    </row>
    <row r="438" ht="17.25" customHeight="1">
      <c r="Q438" s="3"/>
      <c r="R438" s="4"/>
    </row>
    <row r="439" ht="17.25" customHeight="1">
      <c r="Q439" s="3"/>
      <c r="R439" s="4"/>
    </row>
    <row r="440" ht="17.25" customHeight="1">
      <c r="Q440" s="3"/>
      <c r="R440" s="4"/>
    </row>
    <row r="441" ht="17.25" customHeight="1">
      <c r="Q441" s="3"/>
      <c r="R441" s="4"/>
    </row>
    <row r="442" ht="17.25" customHeight="1">
      <c r="Q442" s="3"/>
      <c r="R442" s="4"/>
    </row>
    <row r="443" ht="17.25" customHeight="1">
      <c r="Q443" s="3"/>
      <c r="R443" s="4"/>
    </row>
    <row r="444" ht="17.25" customHeight="1">
      <c r="Q444" s="3"/>
      <c r="R444" s="4"/>
    </row>
    <row r="445" ht="17.25" customHeight="1">
      <c r="Q445" s="3"/>
      <c r="R445" s="4"/>
    </row>
    <row r="446" ht="17.25" customHeight="1">
      <c r="Q446" s="3"/>
      <c r="R446" s="4"/>
    </row>
    <row r="447" ht="17.25" customHeight="1">
      <c r="Q447" s="3"/>
      <c r="R447" s="4"/>
    </row>
    <row r="448" ht="17.25" customHeight="1">
      <c r="Q448" s="3"/>
      <c r="R448" s="4"/>
    </row>
    <row r="449" ht="17.25" customHeight="1">
      <c r="Q449" s="3"/>
      <c r="R449" s="4"/>
    </row>
    <row r="450" ht="17.25" customHeight="1">
      <c r="Q450" s="3"/>
      <c r="R450" s="4"/>
    </row>
    <row r="451" ht="17.25" customHeight="1">
      <c r="Q451" s="3"/>
      <c r="R451" s="4"/>
    </row>
    <row r="452" ht="17.25" customHeight="1">
      <c r="Q452" s="3"/>
      <c r="R452" s="4"/>
    </row>
    <row r="453" ht="17.25" customHeight="1">
      <c r="Q453" s="3"/>
      <c r="R453" s="4"/>
    </row>
    <row r="454" ht="17.25" customHeight="1">
      <c r="Q454" s="3"/>
      <c r="R454" s="4"/>
    </row>
    <row r="455" ht="17.25" customHeight="1">
      <c r="Q455" s="3"/>
      <c r="R455" s="4"/>
    </row>
    <row r="456" ht="17.25" customHeight="1">
      <c r="Q456" s="3"/>
      <c r="R456" s="4"/>
    </row>
    <row r="457" ht="17.25" customHeight="1">
      <c r="Q457" s="3"/>
      <c r="R457" s="4"/>
    </row>
    <row r="458" ht="17.25" customHeight="1">
      <c r="Q458" s="3"/>
      <c r="R458" s="4"/>
    </row>
    <row r="459" ht="17.25" customHeight="1">
      <c r="Q459" s="3"/>
      <c r="R459" s="4"/>
    </row>
    <row r="460" ht="17.25" customHeight="1">
      <c r="Q460" s="3"/>
      <c r="R460" s="4"/>
    </row>
    <row r="461" ht="17.25" customHeight="1">
      <c r="Q461" s="3"/>
      <c r="R461" s="4"/>
    </row>
    <row r="462" ht="17.25" customHeight="1">
      <c r="Q462" s="3"/>
      <c r="R462" s="4"/>
    </row>
    <row r="463" ht="17.25" customHeight="1">
      <c r="Q463" s="3"/>
      <c r="R463" s="4"/>
    </row>
    <row r="464" ht="17.25" customHeight="1">
      <c r="Q464" s="3"/>
      <c r="R464" s="4"/>
    </row>
    <row r="465" ht="17.25" customHeight="1">
      <c r="Q465" s="3"/>
      <c r="R465" s="4"/>
    </row>
    <row r="466" ht="17.25" customHeight="1">
      <c r="Q466" s="3"/>
      <c r="R466" s="4"/>
    </row>
    <row r="467" ht="17.25" customHeight="1">
      <c r="Q467" s="3"/>
      <c r="R467" s="4"/>
    </row>
    <row r="468" ht="17.25" customHeight="1">
      <c r="Q468" s="3"/>
      <c r="R468" s="4"/>
    </row>
    <row r="469" ht="17.25" customHeight="1">
      <c r="Q469" s="3"/>
      <c r="R469" s="4"/>
    </row>
    <row r="470" ht="17.25" customHeight="1">
      <c r="Q470" s="3"/>
      <c r="R470" s="4"/>
    </row>
    <row r="471" ht="17.25" customHeight="1">
      <c r="Q471" s="3"/>
      <c r="R471" s="4"/>
    </row>
    <row r="472" ht="17.25" customHeight="1">
      <c r="Q472" s="3"/>
      <c r="R472" s="4"/>
    </row>
    <row r="473" ht="17.25" customHeight="1">
      <c r="Q473" s="3"/>
      <c r="R473" s="4"/>
    </row>
    <row r="474" ht="17.25" customHeight="1">
      <c r="Q474" s="3"/>
      <c r="R474" s="4"/>
    </row>
    <row r="475" ht="17.25" customHeight="1">
      <c r="Q475" s="3"/>
      <c r="R475" s="4"/>
    </row>
    <row r="476" ht="17.25" customHeight="1">
      <c r="Q476" s="3"/>
      <c r="R476" s="4"/>
    </row>
    <row r="477" ht="17.25" customHeight="1">
      <c r="Q477" s="3"/>
      <c r="R477" s="4"/>
    </row>
    <row r="478" ht="17.25" customHeight="1">
      <c r="Q478" s="3"/>
      <c r="R478" s="4"/>
    </row>
    <row r="479" ht="17.25" customHeight="1">
      <c r="Q479" s="3"/>
      <c r="R479" s="4"/>
    </row>
    <row r="480" ht="17.25" customHeight="1">
      <c r="Q480" s="3"/>
      <c r="R480" s="4"/>
    </row>
    <row r="481" ht="17.25" customHeight="1">
      <c r="Q481" s="3"/>
      <c r="R481" s="4"/>
    </row>
    <row r="482" ht="17.25" customHeight="1">
      <c r="Q482" s="3"/>
      <c r="R482" s="4"/>
    </row>
    <row r="483" ht="17.25" customHeight="1">
      <c r="Q483" s="3"/>
      <c r="R483" s="4"/>
    </row>
    <row r="484" ht="17.25" customHeight="1">
      <c r="Q484" s="3"/>
      <c r="R484" s="4"/>
    </row>
    <row r="485" ht="17.25" customHeight="1">
      <c r="Q485" s="3"/>
      <c r="R485" s="4"/>
    </row>
    <row r="486" ht="17.25" customHeight="1">
      <c r="Q486" s="3"/>
      <c r="R486" s="4"/>
    </row>
    <row r="487" ht="17.25" customHeight="1">
      <c r="Q487" s="3"/>
      <c r="R487" s="4"/>
    </row>
    <row r="488" ht="17.25" customHeight="1">
      <c r="Q488" s="3"/>
      <c r="R488" s="4"/>
    </row>
    <row r="489" ht="17.25" customHeight="1">
      <c r="Q489" s="3"/>
      <c r="R489" s="4"/>
    </row>
    <row r="490" ht="17.25" customHeight="1">
      <c r="Q490" s="3"/>
      <c r="R490" s="4"/>
    </row>
    <row r="491" ht="17.25" customHeight="1">
      <c r="Q491" s="3"/>
      <c r="R491" s="4"/>
    </row>
    <row r="492" ht="17.25" customHeight="1">
      <c r="Q492" s="3"/>
      <c r="R492" s="4"/>
    </row>
    <row r="493" ht="17.25" customHeight="1">
      <c r="Q493" s="3"/>
      <c r="R493" s="4"/>
    </row>
    <row r="494" ht="17.25" customHeight="1">
      <c r="Q494" s="3"/>
      <c r="R494" s="4"/>
    </row>
    <row r="495" ht="17.25" customHeight="1">
      <c r="Q495" s="3"/>
      <c r="R495" s="4"/>
    </row>
    <row r="496" ht="17.25" customHeight="1">
      <c r="Q496" s="3"/>
      <c r="R496" s="4"/>
    </row>
    <row r="497" ht="17.25" customHeight="1">
      <c r="Q497" s="3"/>
      <c r="R497" s="4"/>
    </row>
    <row r="498" ht="17.25" customHeight="1">
      <c r="Q498" s="3"/>
      <c r="R498" s="4"/>
    </row>
    <row r="499" ht="17.25" customHeight="1">
      <c r="Q499" s="3"/>
      <c r="R499" s="4"/>
    </row>
    <row r="500" ht="17.25" customHeight="1">
      <c r="Q500" s="3"/>
      <c r="R500" s="4"/>
    </row>
    <row r="501" ht="17.25" customHeight="1">
      <c r="Q501" s="3"/>
      <c r="R501" s="4"/>
    </row>
    <row r="502" ht="17.25" customHeight="1">
      <c r="Q502" s="3"/>
      <c r="R502" s="4"/>
    </row>
    <row r="503" ht="17.25" customHeight="1">
      <c r="Q503" s="3"/>
      <c r="R503" s="4"/>
    </row>
    <row r="504" ht="17.25" customHeight="1">
      <c r="Q504" s="3"/>
      <c r="R504" s="4"/>
    </row>
    <row r="505" ht="17.25" customHeight="1">
      <c r="Q505" s="3"/>
      <c r="R505" s="4"/>
    </row>
    <row r="506" ht="17.25" customHeight="1">
      <c r="Q506" s="3"/>
      <c r="R506" s="4"/>
    </row>
    <row r="507" ht="17.25" customHeight="1">
      <c r="Q507" s="3"/>
      <c r="R507" s="4"/>
    </row>
    <row r="508" ht="17.25" customHeight="1">
      <c r="Q508" s="3"/>
      <c r="R508" s="4"/>
    </row>
    <row r="509" ht="17.25" customHeight="1">
      <c r="Q509" s="3"/>
      <c r="R509" s="4"/>
    </row>
    <row r="510" ht="17.25" customHeight="1">
      <c r="Q510" s="3"/>
      <c r="R510" s="4"/>
    </row>
    <row r="511" ht="17.25" customHeight="1">
      <c r="Q511" s="3"/>
      <c r="R511" s="4"/>
    </row>
    <row r="512" ht="17.25" customHeight="1">
      <c r="Q512" s="3"/>
      <c r="R512" s="4"/>
    </row>
    <row r="513" ht="17.25" customHeight="1">
      <c r="Q513" s="3"/>
      <c r="R513" s="4"/>
    </row>
    <row r="514" ht="17.25" customHeight="1">
      <c r="Q514" s="3"/>
      <c r="R514" s="4"/>
    </row>
    <row r="515" ht="17.25" customHeight="1">
      <c r="Q515" s="3"/>
      <c r="R515" s="4"/>
    </row>
    <row r="516" ht="17.25" customHeight="1">
      <c r="Q516" s="3"/>
      <c r="R516" s="4"/>
    </row>
    <row r="517" ht="17.25" customHeight="1">
      <c r="Q517" s="3"/>
      <c r="R517" s="4"/>
    </row>
    <row r="518" ht="17.25" customHeight="1">
      <c r="Q518" s="3"/>
      <c r="R518" s="4"/>
    </row>
    <row r="519" ht="17.25" customHeight="1">
      <c r="Q519" s="3"/>
      <c r="R519" s="4"/>
    </row>
    <row r="520" ht="17.25" customHeight="1">
      <c r="Q520" s="3"/>
      <c r="R520" s="4"/>
    </row>
    <row r="521" ht="17.25" customHeight="1">
      <c r="Q521" s="3"/>
      <c r="R521" s="4"/>
    </row>
    <row r="522" ht="17.25" customHeight="1">
      <c r="Q522" s="3"/>
      <c r="R522" s="4"/>
    </row>
    <row r="523" ht="17.25" customHeight="1">
      <c r="Q523" s="3"/>
      <c r="R523" s="4"/>
    </row>
    <row r="524" ht="17.25" customHeight="1">
      <c r="Q524" s="3"/>
      <c r="R524" s="4"/>
    </row>
    <row r="525" ht="17.25" customHeight="1">
      <c r="Q525" s="3"/>
      <c r="R525" s="4"/>
    </row>
    <row r="526" ht="17.25" customHeight="1">
      <c r="Q526" s="3"/>
      <c r="R526" s="4"/>
    </row>
    <row r="527" ht="17.25" customHeight="1">
      <c r="Q527" s="3"/>
      <c r="R527" s="4"/>
    </row>
    <row r="528" ht="17.25" customHeight="1">
      <c r="Q528" s="3"/>
      <c r="R528" s="4"/>
    </row>
    <row r="529" ht="17.25" customHeight="1">
      <c r="Q529" s="3"/>
      <c r="R529" s="4"/>
    </row>
    <row r="530" ht="17.25" customHeight="1">
      <c r="Q530" s="3"/>
      <c r="R530" s="4"/>
    </row>
    <row r="531" ht="17.25" customHeight="1">
      <c r="Q531" s="3"/>
      <c r="R531" s="4"/>
    </row>
    <row r="532" ht="17.25" customHeight="1">
      <c r="Q532" s="3"/>
      <c r="R532" s="4"/>
    </row>
    <row r="533" ht="17.25" customHeight="1">
      <c r="Q533" s="3"/>
      <c r="R533" s="4"/>
    </row>
    <row r="534" ht="17.25" customHeight="1">
      <c r="Q534" s="3"/>
      <c r="R534" s="4"/>
    </row>
    <row r="535" ht="17.25" customHeight="1">
      <c r="Q535" s="3"/>
      <c r="R535" s="4"/>
    </row>
    <row r="536" ht="17.25" customHeight="1">
      <c r="Q536" s="3"/>
      <c r="R536" s="4"/>
    </row>
    <row r="537" ht="17.25" customHeight="1">
      <c r="Q537" s="3"/>
      <c r="R537" s="4"/>
    </row>
    <row r="538" ht="17.25" customHeight="1">
      <c r="Q538" s="3"/>
      <c r="R538" s="4"/>
    </row>
    <row r="539" ht="17.25" customHeight="1">
      <c r="Q539" s="3"/>
      <c r="R539" s="4"/>
    </row>
    <row r="540" ht="17.25" customHeight="1">
      <c r="Q540" s="3"/>
      <c r="R540" s="4"/>
    </row>
    <row r="541" ht="17.25" customHeight="1">
      <c r="Q541" s="3"/>
      <c r="R541" s="4"/>
    </row>
    <row r="542" ht="17.25" customHeight="1">
      <c r="Q542" s="3"/>
      <c r="R542" s="4"/>
    </row>
    <row r="543" ht="17.25" customHeight="1">
      <c r="Q543" s="3"/>
      <c r="R543" s="4"/>
    </row>
    <row r="544" ht="17.25" customHeight="1">
      <c r="Q544" s="3"/>
      <c r="R544" s="4"/>
    </row>
    <row r="545" ht="17.25" customHeight="1">
      <c r="Q545" s="3"/>
      <c r="R545" s="4"/>
    </row>
    <row r="546" ht="17.25" customHeight="1">
      <c r="Q546" s="3"/>
      <c r="R546" s="4"/>
    </row>
    <row r="547" ht="17.25" customHeight="1">
      <c r="Q547" s="3"/>
      <c r="R547" s="4"/>
    </row>
    <row r="548" ht="17.25" customHeight="1">
      <c r="Q548" s="3"/>
      <c r="R548" s="4"/>
    </row>
    <row r="549" ht="17.25" customHeight="1">
      <c r="Q549" s="3"/>
      <c r="R549" s="4"/>
    </row>
    <row r="550" ht="17.25" customHeight="1">
      <c r="Q550" s="3"/>
      <c r="R550" s="4"/>
    </row>
    <row r="551" ht="17.25" customHeight="1">
      <c r="Q551" s="3"/>
      <c r="R551" s="4"/>
    </row>
    <row r="552" ht="17.25" customHeight="1">
      <c r="Q552" s="3"/>
      <c r="R552" s="4"/>
    </row>
    <row r="553" ht="17.25" customHeight="1">
      <c r="Q553" s="3"/>
      <c r="R553" s="4"/>
    </row>
    <row r="554" ht="17.25" customHeight="1">
      <c r="Q554" s="3"/>
      <c r="R554" s="4"/>
    </row>
    <row r="555" ht="17.25" customHeight="1">
      <c r="Q555" s="3"/>
      <c r="R555" s="4"/>
    </row>
    <row r="556" ht="17.25" customHeight="1">
      <c r="Q556" s="3"/>
      <c r="R556" s="4"/>
    </row>
    <row r="557" ht="17.25" customHeight="1">
      <c r="Q557" s="3"/>
      <c r="R557" s="4"/>
    </row>
    <row r="558" ht="17.25" customHeight="1">
      <c r="Q558" s="3"/>
      <c r="R558" s="4"/>
    </row>
    <row r="559" ht="17.25" customHeight="1">
      <c r="Q559" s="3"/>
      <c r="R559" s="4"/>
    </row>
    <row r="560" ht="17.25" customHeight="1">
      <c r="Q560" s="3"/>
      <c r="R560" s="4"/>
    </row>
    <row r="561" ht="17.25" customHeight="1">
      <c r="Q561" s="3"/>
      <c r="R561" s="4"/>
    </row>
    <row r="562" ht="17.25" customHeight="1">
      <c r="Q562" s="3"/>
      <c r="R562" s="4"/>
    </row>
    <row r="563" ht="17.25" customHeight="1">
      <c r="Q563" s="3"/>
      <c r="R563" s="4"/>
    </row>
    <row r="564" ht="17.25" customHeight="1">
      <c r="Q564" s="3"/>
      <c r="R564" s="4"/>
    </row>
    <row r="565" ht="17.25" customHeight="1">
      <c r="Q565" s="3"/>
      <c r="R565" s="4"/>
    </row>
    <row r="566" ht="17.25" customHeight="1">
      <c r="Q566" s="3"/>
      <c r="R566" s="4"/>
    </row>
    <row r="567" ht="17.25" customHeight="1">
      <c r="Q567" s="3"/>
      <c r="R567" s="4"/>
    </row>
    <row r="568" ht="17.25" customHeight="1">
      <c r="Q568" s="3"/>
      <c r="R568" s="4"/>
    </row>
    <row r="569" ht="17.25" customHeight="1">
      <c r="Q569" s="3"/>
      <c r="R569" s="4"/>
    </row>
    <row r="570" ht="17.25" customHeight="1">
      <c r="Q570" s="3"/>
      <c r="R570" s="4"/>
    </row>
    <row r="571" ht="17.25" customHeight="1">
      <c r="Q571" s="3"/>
      <c r="R571" s="4"/>
    </row>
    <row r="572" ht="17.25" customHeight="1">
      <c r="Q572" s="3"/>
      <c r="R572" s="4"/>
    </row>
    <row r="573" ht="17.25" customHeight="1">
      <c r="Q573" s="3"/>
      <c r="R573" s="4"/>
    </row>
    <row r="574" ht="17.25" customHeight="1">
      <c r="Q574" s="3"/>
      <c r="R574" s="4"/>
    </row>
    <row r="575" ht="17.25" customHeight="1">
      <c r="Q575" s="3"/>
      <c r="R575" s="4"/>
    </row>
    <row r="576" ht="17.25" customHeight="1">
      <c r="Q576" s="3"/>
      <c r="R576" s="4"/>
    </row>
    <row r="577" ht="17.25" customHeight="1">
      <c r="Q577" s="3"/>
      <c r="R577" s="4"/>
    </row>
    <row r="578" ht="17.25" customHeight="1">
      <c r="Q578" s="3"/>
      <c r="R578" s="4"/>
    </row>
    <row r="579" ht="17.25" customHeight="1">
      <c r="Q579" s="3"/>
      <c r="R579" s="4"/>
    </row>
    <row r="580" ht="17.25" customHeight="1">
      <c r="Q580" s="3"/>
      <c r="R580" s="4"/>
    </row>
    <row r="581" ht="17.25" customHeight="1">
      <c r="Q581" s="3"/>
      <c r="R581" s="4"/>
    </row>
    <row r="582" ht="17.25" customHeight="1">
      <c r="Q582" s="3"/>
      <c r="R582" s="4"/>
    </row>
    <row r="583" ht="17.25" customHeight="1">
      <c r="Q583" s="3"/>
      <c r="R583" s="4"/>
    </row>
    <row r="584" ht="17.25" customHeight="1">
      <c r="Q584" s="3"/>
      <c r="R584" s="4"/>
    </row>
    <row r="585" ht="17.25" customHeight="1">
      <c r="Q585" s="3"/>
      <c r="R585" s="4"/>
    </row>
    <row r="586" ht="17.25" customHeight="1">
      <c r="Q586" s="3"/>
      <c r="R586" s="4"/>
    </row>
    <row r="587" ht="17.25" customHeight="1">
      <c r="Q587" s="3"/>
      <c r="R587" s="4"/>
    </row>
    <row r="588" ht="17.25" customHeight="1">
      <c r="Q588" s="3"/>
      <c r="R588" s="4"/>
    </row>
    <row r="589" ht="17.25" customHeight="1">
      <c r="Q589" s="3"/>
      <c r="R589" s="4"/>
    </row>
    <row r="590" ht="17.25" customHeight="1">
      <c r="Q590" s="3"/>
      <c r="R590" s="4"/>
    </row>
    <row r="591" ht="17.25" customHeight="1">
      <c r="Q591" s="3"/>
      <c r="R591" s="4"/>
    </row>
    <row r="592" ht="17.25" customHeight="1">
      <c r="Q592" s="3"/>
      <c r="R592" s="4"/>
    </row>
    <row r="593" ht="17.25" customHeight="1">
      <c r="Q593" s="3"/>
      <c r="R593" s="4"/>
    </row>
    <row r="594" ht="17.25" customHeight="1">
      <c r="Q594" s="3"/>
      <c r="R594" s="4"/>
    </row>
    <row r="595" ht="17.25" customHeight="1">
      <c r="Q595" s="3"/>
      <c r="R595" s="4"/>
    </row>
    <row r="596" ht="17.25" customHeight="1">
      <c r="Q596" s="3"/>
      <c r="R596" s="4"/>
    </row>
    <row r="597" ht="17.25" customHeight="1">
      <c r="Q597" s="3"/>
      <c r="R597" s="4"/>
    </row>
    <row r="598" ht="17.25" customHeight="1">
      <c r="Q598" s="3"/>
      <c r="R598" s="4"/>
    </row>
    <row r="599" ht="17.25" customHeight="1">
      <c r="Q599" s="3"/>
      <c r="R599" s="4"/>
    </row>
    <row r="600" ht="17.25" customHeight="1">
      <c r="Q600" s="3"/>
      <c r="R600" s="4"/>
    </row>
    <row r="601" ht="17.25" customHeight="1">
      <c r="Q601" s="3"/>
      <c r="R601" s="4"/>
    </row>
    <row r="602" ht="17.25" customHeight="1">
      <c r="Q602" s="3"/>
      <c r="R602" s="4"/>
    </row>
    <row r="603" ht="17.25" customHeight="1">
      <c r="Q603" s="3"/>
      <c r="R603" s="4"/>
    </row>
    <row r="604" ht="17.25" customHeight="1">
      <c r="Q604" s="3"/>
      <c r="R604" s="4"/>
    </row>
    <row r="605" ht="17.25" customHeight="1">
      <c r="Q605" s="3"/>
      <c r="R605" s="4"/>
    </row>
    <row r="606" ht="17.25" customHeight="1">
      <c r="Q606" s="3"/>
      <c r="R606" s="4"/>
    </row>
    <row r="607" ht="17.25" customHeight="1">
      <c r="Q607" s="3"/>
      <c r="R607" s="4"/>
    </row>
    <row r="608" ht="17.25" customHeight="1">
      <c r="Q608" s="3"/>
      <c r="R608" s="4"/>
    </row>
    <row r="609" ht="17.25" customHeight="1">
      <c r="Q609" s="3"/>
      <c r="R609" s="4"/>
    </row>
    <row r="610" ht="17.25" customHeight="1">
      <c r="Q610" s="3"/>
      <c r="R610" s="4"/>
    </row>
    <row r="611" ht="17.25" customHeight="1">
      <c r="Q611" s="3"/>
      <c r="R611" s="4"/>
    </row>
    <row r="612" ht="17.25" customHeight="1">
      <c r="Q612" s="3"/>
      <c r="R612" s="4"/>
    </row>
    <row r="613" ht="17.25" customHeight="1">
      <c r="Q613" s="3"/>
      <c r="R613" s="4"/>
    </row>
    <row r="614" ht="17.25" customHeight="1">
      <c r="Q614" s="3"/>
      <c r="R614" s="4"/>
    </row>
    <row r="615" ht="17.25" customHeight="1">
      <c r="Q615" s="3"/>
      <c r="R615" s="4"/>
    </row>
    <row r="616" ht="17.25" customHeight="1">
      <c r="Q616" s="3"/>
      <c r="R616" s="4"/>
    </row>
    <row r="617" ht="17.25" customHeight="1">
      <c r="Q617" s="3"/>
      <c r="R617" s="4"/>
    </row>
    <row r="618" ht="17.25" customHeight="1">
      <c r="Q618" s="3"/>
      <c r="R618" s="4"/>
    </row>
    <row r="619" ht="17.25" customHeight="1">
      <c r="Q619" s="3"/>
      <c r="R619" s="4"/>
    </row>
    <row r="620" ht="17.25" customHeight="1">
      <c r="Q620" s="3"/>
      <c r="R620" s="4"/>
    </row>
    <row r="621" ht="17.25" customHeight="1">
      <c r="Q621" s="3"/>
      <c r="R621" s="4"/>
    </row>
    <row r="622" ht="17.25" customHeight="1">
      <c r="Q622" s="3"/>
      <c r="R622" s="4"/>
    </row>
    <row r="623" ht="17.25" customHeight="1">
      <c r="Q623" s="3"/>
      <c r="R623" s="4"/>
    </row>
    <row r="624" ht="17.25" customHeight="1">
      <c r="Q624" s="3"/>
      <c r="R624" s="4"/>
    </row>
    <row r="625" ht="17.25" customHeight="1">
      <c r="Q625" s="3"/>
      <c r="R625" s="4"/>
    </row>
    <row r="626" ht="17.25" customHeight="1">
      <c r="Q626" s="3"/>
      <c r="R626" s="4"/>
    </row>
    <row r="627" ht="17.25" customHeight="1">
      <c r="Q627" s="3"/>
      <c r="R627" s="4"/>
    </row>
    <row r="628" ht="17.25" customHeight="1">
      <c r="Q628" s="3"/>
      <c r="R628" s="4"/>
    </row>
    <row r="629" ht="17.25" customHeight="1">
      <c r="Q629" s="3"/>
      <c r="R629" s="4"/>
    </row>
    <row r="630" ht="17.25" customHeight="1">
      <c r="Q630" s="3"/>
      <c r="R630" s="4"/>
    </row>
    <row r="631" ht="17.25" customHeight="1">
      <c r="Q631" s="3"/>
      <c r="R631" s="4"/>
    </row>
    <row r="632" ht="17.25" customHeight="1">
      <c r="Q632" s="3"/>
      <c r="R632" s="4"/>
    </row>
    <row r="633" ht="17.25" customHeight="1">
      <c r="Q633" s="3"/>
      <c r="R633" s="4"/>
    </row>
    <row r="634" ht="17.25" customHeight="1">
      <c r="Q634" s="3"/>
      <c r="R634" s="4"/>
    </row>
    <row r="635" ht="17.25" customHeight="1">
      <c r="Q635" s="3"/>
      <c r="R635" s="4"/>
    </row>
    <row r="636" ht="17.25" customHeight="1">
      <c r="Q636" s="3"/>
      <c r="R636" s="4"/>
    </row>
    <row r="637" ht="17.25" customHeight="1">
      <c r="Q637" s="3"/>
      <c r="R637" s="4"/>
    </row>
    <row r="638" ht="17.25" customHeight="1">
      <c r="Q638" s="3"/>
      <c r="R638" s="4"/>
    </row>
    <row r="639" ht="17.25" customHeight="1">
      <c r="Q639" s="3"/>
      <c r="R639" s="4"/>
    </row>
    <row r="640" ht="17.25" customHeight="1">
      <c r="Q640" s="3"/>
      <c r="R640" s="4"/>
    </row>
    <row r="641" ht="17.25" customHeight="1">
      <c r="Q641" s="3"/>
      <c r="R641" s="4"/>
    </row>
    <row r="642" ht="17.25" customHeight="1">
      <c r="Q642" s="3"/>
      <c r="R642" s="4"/>
    </row>
    <row r="643" ht="17.25" customHeight="1">
      <c r="Q643" s="3"/>
      <c r="R643" s="4"/>
    </row>
    <row r="644" ht="17.25" customHeight="1">
      <c r="Q644" s="3"/>
      <c r="R644" s="4"/>
    </row>
    <row r="645" ht="17.25" customHeight="1">
      <c r="Q645" s="3"/>
      <c r="R645" s="4"/>
    </row>
    <row r="646" ht="17.25" customHeight="1">
      <c r="Q646" s="3"/>
      <c r="R646" s="4"/>
    </row>
    <row r="647" ht="17.25" customHeight="1">
      <c r="Q647" s="3"/>
      <c r="R647" s="4"/>
    </row>
    <row r="648" ht="17.25" customHeight="1">
      <c r="Q648" s="3"/>
      <c r="R648" s="4"/>
    </row>
    <row r="649" ht="17.25" customHeight="1">
      <c r="Q649" s="3"/>
      <c r="R649" s="4"/>
    </row>
    <row r="650" ht="17.25" customHeight="1">
      <c r="Q650" s="3"/>
      <c r="R650" s="4"/>
    </row>
    <row r="651" ht="17.25" customHeight="1">
      <c r="Q651" s="3"/>
      <c r="R651" s="4"/>
    </row>
    <row r="652" ht="17.25" customHeight="1">
      <c r="Q652" s="3"/>
      <c r="R652" s="4"/>
    </row>
    <row r="653" ht="17.25" customHeight="1">
      <c r="Q653" s="3"/>
      <c r="R653" s="4"/>
    </row>
    <row r="654" ht="17.25" customHeight="1">
      <c r="Q654" s="3"/>
      <c r="R654" s="4"/>
    </row>
    <row r="655" ht="17.25" customHeight="1">
      <c r="Q655" s="3"/>
      <c r="R655" s="4"/>
    </row>
    <row r="656" ht="17.25" customHeight="1">
      <c r="Q656" s="3"/>
      <c r="R656" s="4"/>
    </row>
    <row r="657" ht="17.25" customHeight="1">
      <c r="Q657" s="3"/>
      <c r="R657" s="4"/>
    </row>
    <row r="658" ht="17.25" customHeight="1">
      <c r="Q658" s="3"/>
      <c r="R658" s="4"/>
    </row>
    <row r="659" ht="17.25" customHeight="1">
      <c r="Q659" s="3"/>
      <c r="R659" s="4"/>
    </row>
    <row r="660" ht="17.25" customHeight="1">
      <c r="Q660" s="3"/>
      <c r="R660" s="4"/>
    </row>
    <row r="661" ht="17.25" customHeight="1">
      <c r="Q661" s="3"/>
      <c r="R661" s="4"/>
    </row>
    <row r="662" ht="17.25" customHeight="1">
      <c r="Q662" s="3"/>
      <c r="R662" s="4"/>
    </row>
    <row r="663" ht="17.25" customHeight="1">
      <c r="Q663" s="3"/>
      <c r="R663" s="4"/>
    </row>
    <row r="664" ht="17.25" customHeight="1">
      <c r="Q664" s="3"/>
      <c r="R664" s="4"/>
    </row>
    <row r="665" ht="17.25" customHeight="1">
      <c r="Q665" s="3"/>
      <c r="R665" s="4"/>
    </row>
    <row r="666" ht="17.25" customHeight="1">
      <c r="Q666" s="3"/>
      <c r="R666" s="4"/>
    </row>
    <row r="667" ht="17.25" customHeight="1">
      <c r="Q667" s="3"/>
      <c r="R667" s="4"/>
    </row>
    <row r="668" ht="17.25" customHeight="1">
      <c r="Q668" s="3"/>
      <c r="R668" s="4"/>
    </row>
    <row r="669" ht="17.25" customHeight="1">
      <c r="Q669" s="3"/>
      <c r="R669" s="4"/>
    </row>
    <row r="670" ht="17.25" customHeight="1">
      <c r="Q670" s="3"/>
      <c r="R670" s="4"/>
    </row>
    <row r="671" ht="17.25" customHeight="1">
      <c r="Q671" s="3"/>
      <c r="R671" s="4"/>
    </row>
    <row r="672" ht="17.25" customHeight="1">
      <c r="Q672" s="3"/>
      <c r="R672" s="4"/>
    </row>
    <row r="673" ht="17.25" customHeight="1">
      <c r="Q673" s="3"/>
      <c r="R673" s="4"/>
    </row>
    <row r="674" ht="17.25" customHeight="1">
      <c r="Q674" s="3"/>
      <c r="R674" s="4"/>
    </row>
    <row r="675" ht="17.25" customHeight="1">
      <c r="Q675" s="3"/>
      <c r="R675" s="4"/>
    </row>
    <row r="676" ht="17.25" customHeight="1">
      <c r="Q676" s="3"/>
      <c r="R676" s="4"/>
    </row>
    <row r="677" ht="17.25" customHeight="1">
      <c r="Q677" s="3"/>
      <c r="R677" s="4"/>
    </row>
    <row r="678" ht="17.25" customHeight="1">
      <c r="Q678" s="3"/>
      <c r="R678" s="4"/>
    </row>
    <row r="679" ht="17.25" customHeight="1">
      <c r="Q679" s="3"/>
      <c r="R679" s="4"/>
    </row>
    <row r="680" ht="17.25" customHeight="1">
      <c r="Q680" s="3"/>
      <c r="R680" s="4"/>
    </row>
    <row r="681" ht="17.25" customHeight="1">
      <c r="Q681" s="3"/>
      <c r="R681" s="4"/>
    </row>
    <row r="682" ht="17.25" customHeight="1">
      <c r="Q682" s="3"/>
      <c r="R682" s="4"/>
    </row>
    <row r="683" ht="17.25" customHeight="1">
      <c r="Q683" s="3"/>
      <c r="R683" s="4"/>
    </row>
    <row r="684" ht="17.25" customHeight="1">
      <c r="Q684" s="3"/>
      <c r="R684" s="4"/>
    </row>
    <row r="685" ht="17.25" customHeight="1">
      <c r="Q685" s="3"/>
      <c r="R685" s="4"/>
    </row>
    <row r="686" ht="17.25" customHeight="1">
      <c r="Q686" s="3"/>
      <c r="R686" s="4"/>
    </row>
    <row r="687" ht="17.25" customHeight="1">
      <c r="Q687" s="3"/>
      <c r="R687" s="4"/>
    </row>
    <row r="688" ht="17.25" customHeight="1">
      <c r="Q688" s="3"/>
      <c r="R688" s="4"/>
    </row>
    <row r="689" ht="17.25" customHeight="1">
      <c r="Q689" s="3"/>
      <c r="R689" s="4"/>
    </row>
    <row r="690" ht="17.25" customHeight="1">
      <c r="Q690" s="3"/>
      <c r="R690" s="4"/>
    </row>
    <row r="691" ht="17.25" customHeight="1">
      <c r="Q691" s="3"/>
      <c r="R691" s="4"/>
    </row>
    <row r="692" ht="17.25" customHeight="1">
      <c r="Q692" s="3"/>
      <c r="R692" s="4"/>
    </row>
    <row r="693" ht="17.25" customHeight="1">
      <c r="Q693" s="3"/>
      <c r="R693" s="4"/>
    </row>
    <row r="694" ht="17.25" customHeight="1">
      <c r="Q694" s="3"/>
      <c r="R694" s="4"/>
    </row>
    <row r="695" ht="17.25" customHeight="1">
      <c r="Q695" s="3"/>
      <c r="R695" s="4"/>
    </row>
    <row r="696" ht="17.25" customHeight="1">
      <c r="Q696" s="3"/>
      <c r="R696" s="4"/>
    </row>
    <row r="697" ht="17.25" customHeight="1">
      <c r="Q697" s="3"/>
      <c r="R697" s="4"/>
    </row>
    <row r="698" ht="17.25" customHeight="1">
      <c r="Q698" s="3"/>
      <c r="R698" s="4"/>
    </row>
    <row r="699" ht="17.25" customHeight="1">
      <c r="Q699" s="3"/>
      <c r="R699" s="4"/>
    </row>
    <row r="700" ht="17.25" customHeight="1">
      <c r="Q700" s="3"/>
      <c r="R700" s="4"/>
    </row>
    <row r="701" ht="17.25" customHeight="1">
      <c r="Q701" s="3"/>
      <c r="R701" s="4"/>
    </row>
    <row r="702" ht="17.25" customHeight="1">
      <c r="Q702" s="3"/>
      <c r="R702" s="4"/>
    </row>
    <row r="703" ht="17.25" customHeight="1">
      <c r="Q703" s="3"/>
      <c r="R703" s="4"/>
    </row>
    <row r="704" ht="17.25" customHeight="1">
      <c r="Q704" s="3"/>
      <c r="R704" s="4"/>
    </row>
    <row r="705" ht="17.25" customHeight="1">
      <c r="Q705" s="3"/>
      <c r="R705" s="4"/>
    </row>
    <row r="706" ht="17.25" customHeight="1">
      <c r="Q706" s="3"/>
      <c r="R706" s="4"/>
    </row>
    <row r="707" ht="17.25" customHeight="1">
      <c r="Q707" s="3"/>
      <c r="R707" s="4"/>
    </row>
    <row r="708" ht="17.25" customHeight="1">
      <c r="Q708" s="3"/>
      <c r="R708" s="4"/>
    </row>
    <row r="709" ht="17.25" customHeight="1">
      <c r="Q709" s="3"/>
      <c r="R709" s="4"/>
    </row>
    <row r="710" ht="17.25" customHeight="1">
      <c r="Q710" s="3"/>
      <c r="R710" s="4"/>
    </row>
    <row r="711" ht="17.25" customHeight="1">
      <c r="Q711" s="3"/>
      <c r="R711" s="4"/>
    </row>
    <row r="712" ht="17.25" customHeight="1">
      <c r="Q712" s="3"/>
      <c r="R712" s="4"/>
    </row>
    <row r="713" ht="17.25" customHeight="1">
      <c r="Q713" s="3"/>
      <c r="R713" s="4"/>
    </row>
    <row r="714" ht="17.25" customHeight="1">
      <c r="Q714" s="3"/>
      <c r="R714" s="4"/>
    </row>
    <row r="715" ht="17.25" customHeight="1">
      <c r="Q715" s="3"/>
      <c r="R715" s="4"/>
    </row>
    <row r="716" ht="17.25" customHeight="1">
      <c r="Q716" s="3"/>
      <c r="R716" s="4"/>
    </row>
    <row r="717" ht="17.25" customHeight="1">
      <c r="Q717" s="3"/>
      <c r="R717" s="4"/>
    </row>
    <row r="718" ht="17.25" customHeight="1">
      <c r="Q718" s="3"/>
      <c r="R718" s="4"/>
    </row>
    <row r="719" ht="17.25" customHeight="1">
      <c r="Q719" s="3"/>
      <c r="R719" s="4"/>
    </row>
    <row r="720" ht="17.25" customHeight="1">
      <c r="Q720" s="3"/>
      <c r="R720" s="4"/>
    </row>
    <row r="721" ht="17.25" customHeight="1">
      <c r="Q721" s="3"/>
      <c r="R721" s="4"/>
    </row>
    <row r="722" ht="17.25" customHeight="1">
      <c r="Q722" s="3"/>
      <c r="R722" s="4"/>
    </row>
    <row r="723" ht="17.25" customHeight="1">
      <c r="Q723" s="3"/>
      <c r="R723" s="4"/>
    </row>
    <row r="724" ht="17.25" customHeight="1">
      <c r="Q724" s="3"/>
      <c r="R724" s="4"/>
    </row>
    <row r="725" ht="17.25" customHeight="1">
      <c r="Q725" s="3"/>
      <c r="R725" s="4"/>
    </row>
    <row r="726" ht="17.25" customHeight="1">
      <c r="Q726" s="3"/>
      <c r="R726" s="4"/>
    </row>
    <row r="727" ht="17.25" customHeight="1">
      <c r="Q727" s="3"/>
      <c r="R727" s="4"/>
    </row>
    <row r="728" ht="17.25" customHeight="1">
      <c r="Q728" s="3"/>
      <c r="R728" s="4"/>
    </row>
    <row r="729" ht="17.25" customHeight="1">
      <c r="Q729" s="3"/>
      <c r="R729" s="4"/>
    </row>
    <row r="730" ht="17.25" customHeight="1">
      <c r="Q730" s="3"/>
      <c r="R730" s="4"/>
    </row>
    <row r="731" ht="17.25" customHeight="1">
      <c r="Q731" s="3"/>
      <c r="R731" s="4"/>
    </row>
    <row r="732" ht="17.25" customHeight="1">
      <c r="Q732" s="3"/>
      <c r="R732" s="4"/>
    </row>
    <row r="733" ht="17.25" customHeight="1">
      <c r="Q733" s="3"/>
      <c r="R733" s="4"/>
    </row>
    <row r="734" ht="17.25" customHeight="1">
      <c r="Q734" s="3"/>
      <c r="R734" s="4"/>
    </row>
    <row r="735" ht="17.25" customHeight="1">
      <c r="Q735" s="3"/>
      <c r="R735" s="4"/>
    </row>
    <row r="736" ht="17.25" customHeight="1">
      <c r="Q736" s="3"/>
      <c r="R736" s="4"/>
    </row>
    <row r="737" ht="17.25" customHeight="1">
      <c r="Q737" s="3"/>
      <c r="R737" s="4"/>
    </row>
    <row r="738" ht="17.25" customHeight="1">
      <c r="Q738" s="3"/>
      <c r="R738" s="4"/>
    </row>
    <row r="739" ht="17.25" customHeight="1">
      <c r="Q739" s="3"/>
      <c r="R739" s="4"/>
    </row>
    <row r="740" ht="17.25" customHeight="1">
      <c r="Q740" s="3"/>
      <c r="R740" s="4"/>
    </row>
    <row r="741" ht="17.25" customHeight="1">
      <c r="Q741" s="3"/>
      <c r="R741" s="4"/>
    </row>
    <row r="742" ht="17.25" customHeight="1">
      <c r="Q742" s="3"/>
      <c r="R742" s="4"/>
    </row>
    <row r="743" ht="17.25" customHeight="1">
      <c r="Q743" s="3"/>
      <c r="R743" s="4"/>
    </row>
    <row r="744" ht="17.25" customHeight="1">
      <c r="Q744" s="3"/>
      <c r="R744" s="4"/>
    </row>
    <row r="745" ht="17.25" customHeight="1">
      <c r="Q745" s="3"/>
      <c r="R745" s="4"/>
    </row>
    <row r="746" ht="17.25" customHeight="1">
      <c r="Q746" s="3"/>
      <c r="R746" s="4"/>
    </row>
    <row r="747" ht="17.25" customHeight="1">
      <c r="Q747" s="3"/>
      <c r="R747" s="4"/>
    </row>
    <row r="748" ht="17.25" customHeight="1">
      <c r="Q748" s="3"/>
      <c r="R748" s="4"/>
    </row>
    <row r="749" ht="17.25" customHeight="1">
      <c r="Q749" s="3"/>
      <c r="R749" s="4"/>
    </row>
    <row r="750" ht="17.25" customHeight="1">
      <c r="Q750" s="3"/>
      <c r="R750" s="4"/>
    </row>
    <row r="751" ht="17.25" customHeight="1">
      <c r="Q751" s="3"/>
      <c r="R751" s="4"/>
    </row>
    <row r="752" ht="17.25" customHeight="1">
      <c r="Q752" s="3"/>
      <c r="R752" s="4"/>
    </row>
    <row r="753" ht="17.25" customHeight="1">
      <c r="Q753" s="3"/>
      <c r="R753" s="4"/>
    </row>
    <row r="754" ht="17.25" customHeight="1">
      <c r="Q754" s="3"/>
      <c r="R754" s="4"/>
    </row>
    <row r="755" ht="17.25" customHeight="1">
      <c r="Q755" s="3"/>
      <c r="R755" s="4"/>
    </row>
    <row r="756" ht="17.25" customHeight="1">
      <c r="Q756" s="3"/>
      <c r="R756" s="4"/>
    </row>
    <row r="757" ht="17.25" customHeight="1">
      <c r="Q757" s="3"/>
      <c r="R757" s="4"/>
    </row>
    <row r="758" ht="17.25" customHeight="1">
      <c r="Q758" s="3"/>
      <c r="R758" s="4"/>
    </row>
    <row r="759" ht="17.25" customHeight="1">
      <c r="Q759" s="3"/>
      <c r="R759" s="4"/>
    </row>
    <row r="760" ht="17.25" customHeight="1">
      <c r="Q760" s="3"/>
      <c r="R760" s="4"/>
    </row>
    <row r="761" ht="17.25" customHeight="1">
      <c r="Q761" s="3"/>
      <c r="R761" s="4"/>
    </row>
    <row r="762" ht="17.25" customHeight="1">
      <c r="Q762" s="3"/>
      <c r="R762" s="4"/>
    </row>
    <row r="763" ht="17.25" customHeight="1">
      <c r="Q763" s="3"/>
      <c r="R763" s="4"/>
    </row>
    <row r="764" ht="17.25" customHeight="1">
      <c r="Q764" s="3"/>
      <c r="R764" s="4"/>
    </row>
    <row r="765" ht="17.25" customHeight="1">
      <c r="Q765" s="3"/>
      <c r="R765" s="4"/>
    </row>
    <row r="766" ht="17.25" customHeight="1">
      <c r="Q766" s="3"/>
      <c r="R766" s="4"/>
    </row>
    <row r="767" ht="17.25" customHeight="1">
      <c r="Q767" s="3"/>
      <c r="R767" s="4"/>
    </row>
    <row r="768" ht="17.25" customHeight="1">
      <c r="Q768" s="3"/>
      <c r="R768" s="4"/>
    </row>
    <row r="769" ht="17.25" customHeight="1">
      <c r="Q769" s="3"/>
      <c r="R769" s="4"/>
    </row>
    <row r="770" ht="17.25" customHeight="1">
      <c r="Q770" s="3"/>
      <c r="R770" s="4"/>
    </row>
    <row r="771" ht="17.25" customHeight="1">
      <c r="Q771" s="3"/>
      <c r="R771" s="4"/>
    </row>
    <row r="772" ht="17.25" customHeight="1">
      <c r="Q772" s="3"/>
      <c r="R772" s="4"/>
    </row>
    <row r="773" ht="17.25" customHeight="1">
      <c r="Q773" s="3"/>
      <c r="R773" s="4"/>
    </row>
    <row r="774" ht="17.25" customHeight="1">
      <c r="Q774" s="3"/>
      <c r="R774" s="4"/>
    </row>
    <row r="775" ht="17.25" customHeight="1">
      <c r="Q775" s="3"/>
      <c r="R775" s="4"/>
    </row>
    <row r="776" ht="17.25" customHeight="1">
      <c r="Q776" s="3"/>
      <c r="R776" s="4"/>
    </row>
    <row r="777" ht="17.25" customHeight="1">
      <c r="Q777" s="3"/>
      <c r="R777" s="4"/>
    </row>
    <row r="778" ht="17.25" customHeight="1">
      <c r="Q778" s="3"/>
      <c r="R778" s="4"/>
    </row>
    <row r="779" ht="17.25" customHeight="1">
      <c r="Q779" s="3"/>
      <c r="R779" s="4"/>
    </row>
    <row r="780" ht="17.25" customHeight="1">
      <c r="Q780" s="3"/>
      <c r="R780" s="4"/>
    </row>
    <row r="781" ht="17.25" customHeight="1">
      <c r="Q781" s="3"/>
      <c r="R781" s="4"/>
    </row>
    <row r="782" ht="17.25" customHeight="1">
      <c r="Q782" s="3"/>
      <c r="R782" s="4"/>
    </row>
    <row r="783" ht="17.25" customHeight="1">
      <c r="Q783" s="3"/>
      <c r="R783" s="4"/>
    </row>
    <row r="784" ht="17.25" customHeight="1">
      <c r="Q784" s="3"/>
      <c r="R784" s="4"/>
    </row>
    <row r="785" ht="17.25" customHeight="1">
      <c r="Q785" s="3"/>
      <c r="R785" s="4"/>
    </row>
    <row r="786" ht="17.25" customHeight="1">
      <c r="Q786" s="3"/>
      <c r="R786" s="4"/>
    </row>
    <row r="787" ht="17.25" customHeight="1">
      <c r="Q787" s="3"/>
      <c r="R787" s="4"/>
    </row>
    <row r="788" ht="17.25" customHeight="1">
      <c r="Q788" s="3"/>
      <c r="R788" s="4"/>
    </row>
    <row r="789" ht="17.25" customHeight="1">
      <c r="Q789" s="3"/>
      <c r="R789" s="4"/>
    </row>
    <row r="790" ht="17.25" customHeight="1">
      <c r="Q790" s="3"/>
      <c r="R790" s="4"/>
    </row>
    <row r="791" ht="17.25" customHeight="1">
      <c r="Q791" s="3"/>
      <c r="R791" s="4"/>
    </row>
    <row r="792" ht="17.25" customHeight="1">
      <c r="Q792" s="3"/>
      <c r="R792" s="4"/>
    </row>
    <row r="793" ht="17.25" customHeight="1">
      <c r="Q793" s="3"/>
      <c r="R793" s="4"/>
    </row>
    <row r="794" ht="17.25" customHeight="1">
      <c r="Q794" s="3"/>
      <c r="R794" s="4"/>
    </row>
    <row r="795" ht="17.25" customHeight="1">
      <c r="Q795" s="3"/>
      <c r="R795" s="4"/>
    </row>
    <row r="796" ht="17.25" customHeight="1">
      <c r="Q796" s="3"/>
      <c r="R796" s="4"/>
    </row>
    <row r="797" ht="17.25" customHeight="1">
      <c r="Q797" s="3"/>
      <c r="R797" s="4"/>
    </row>
    <row r="798" ht="17.25" customHeight="1">
      <c r="Q798" s="3"/>
      <c r="R798" s="4"/>
    </row>
    <row r="799" ht="17.25" customHeight="1">
      <c r="Q799" s="3"/>
      <c r="R799" s="4"/>
    </row>
    <row r="800" ht="17.25" customHeight="1">
      <c r="Q800" s="3"/>
      <c r="R800" s="4"/>
    </row>
    <row r="801" ht="17.25" customHeight="1">
      <c r="Q801" s="3"/>
      <c r="R801" s="4"/>
    </row>
    <row r="802" ht="17.25" customHeight="1">
      <c r="Q802" s="3"/>
      <c r="R802" s="4"/>
    </row>
    <row r="803" ht="17.25" customHeight="1">
      <c r="Q803" s="3"/>
      <c r="R803" s="4"/>
    </row>
    <row r="804" ht="17.25" customHeight="1">
      <c r="Q804" s="3"/>
      <c r="R804" s="4"/>
    </row>
    <row r="805" ht="17.25" customHeight="1">
      <c r="Q805" s="3"/>
      <c r="R805" s="4"/>
    </row>
    <row r="806" ht="17.25" customHeight="1">
      <c r="Q806" s="3"/>
      <c r="R806" s="4"/>
    </row>
    <row r="807" ht="17.25" customHeight="1">
      <c r="Q807" s="3"/>
      <c r="R807" s="4"/>
    </row>
    <row r="808" ht="17.25" customHeight="1">
      <c r="Q808" s="3"/>
      <c r="R808" s="4"/>
    </row>
    <row r="809" ht="17.25" customHeight="1">
      <c r="Q809" s="3"/>
      <c r="R809" s="4"/>
    </row>
    <row r="810" ht="17.25" customHeight="1">
      <c r="Q810" s="3"/>
      <c r="R810" s="4"/>
    </row>
    <row r="811" ht="17.25" customHeight="1">
      <c r="Q811" s="3"/>
      <c r="R811" s="4"/>
    </row>
    <row r="812" ht="17.25" customHeight="1">
      <c r="Q812" s="3"/>
      <c r="R812" s="4"/>
    </row>
    <row r="813" ht="17.25" customHeight="1">
      <c r="Q813" s="3"/>
      <c r="R813" s="4"/>
    </row>
    <row r="814" ht="17.25" customHeight="1">
      <c r="Q814" s="3"/>
      <c r="R814" s="4"/>
    </row>
    <row r="815" ht="17.25" customHeight="1">
      <c r="Q815" s="3"/>
      <c r="R815" s="4"/>
    </row>
    <row r="816" ht="17.25" customHeight="1">
      <c r="Q816" s="3"/>
      <c r="R816" s="4"/>
    </row>
    <row r="817" ht="17.25" customHeight="1">
      <c r="Q817" s="3"/>
      <c r="R817" s="4"/>
    </row>
    <row r="818" ht="17.25" customHeight="1">
      <c r="Q818" s="3"/>
      <c r="R818" s="4"/>
    </row>
    <row r="819" ht="17.25" customHeight="1">
      <c r="Q819" s="3"/>
      <c r="R819" s="4"/>
    </row>
    <row r="820" ht="17.25" customHeight="1">
      <c r="Q820" s="3"/>
      <c r="R820" s="4"/>
    </row>
    <row r="821" ht="17.25" customHeight="1">
      <c r="Q821" s="3"/>
      <c r="R821" s="4"/>
    </row>
    <row r="822" ht="17.25" customHeight="1">
      <c r="Q822" s="3"/>
      <c r="R822" s="4"/>
    </row>
    <row r="823" ht="17.25" customHeight="1">
      <c r="Q823" s="3"/>
      <c r="R823" s="4"/>
    </row>
    <row r="824" ht="17.25" customHeight="1">
      <c r="Q824" s="3"/>
      <c r="R824" s="4"/>
    </row>
    <row r="825" ht="17.25" customHeight="1">
      <c r="Q825" s="3"/>
      <c r="R825" s="4"/>
    </row>
    <row r="826" ht="17.25" customHeight="1">
      <c r="Q826" s="3"/>
      <c r="R826" s="4"/>
    </row>
    <row r="827" ht="17.25" customHeight="1">
      <c r="Q827" s="3"/>
      <c r="R827" s="4"/>
    </row>
    <row r="828" ht="17.25" customHeight="1">
      <c r="Q828" s="3"/>
      <c r="R828" s="4"/>
    </row>
    <row r="829" ht="17.25" customHeight="1">
      <c r="Q829" s="3"/>
      <c r="R829" s="4"/>
    </row>
    <row r="830" ht="17.25" customHeight="1">
      <c r="Q830" s="3"/>
      <c r="R830" s="4"/>
    </row>
    <row r="831" ht="17.25" customHeight="1">
      <c r="Q831" s="3"/>
      <c r="R831" s="4"/>
    </row>
    <row r="832" ht="17.25" customHeight="1">
      <c r="Q832" s="3"/>
      <c r="R832" s="4"/>
    </row>
    <row r="833" ht="17.25" customHeight="1">
      <c r="Q833" s="3"/>
      <c r="R833" s="4"/>
    </row>
    <row r="834" ht="17.25" customHeight="1">
      <c r="Q834" s="3"/>
      <c r="R834" s="4"/>
    </row>
    <row r="835" ht="17.25" customHeight="1">
      <c r="Q835" s="3"/>
      <c r="R835" s="4"/>
    </row>
    <row r="836" ht="17.25" customHeight="1">
      <c r="Q836" s="3"/>
      <c r="R836" s="4"/>
    </row>
    <row r="837" ht="17.25" customHeight="1">
      <c r="Q837" s="3"/>
      <c r="R837" s="4"/>
    </row>
    <row r="838" ht="17.25" customHeight="1">
      <c r="Q838" s="3"/>
      <c r="R838" s="4"/>
    </row>
    <row r="839" ht="17.25" customHeight="1">
      <c r="Q839" s="3"/>
      <c r="R839" s="4"/>
    </row>
    <row r="840" ht="17.25" customHeight="1">
      <c r="Q840" s="3"/>
      <c r="R840" s="4"/>
    </row>
    <row r="841" ht="17.25" customHeight="1">
      <c r="Q841" s="3"/>
      <c r="R841" s="4"/>
    </row>
    <row r="842" ht="17.25" customHeight="1">
      <c r="Q842" s="3"/>
      <c r="R842" s="4"/>
    </row>
    <row r="843" ht="17.25" customHeight="1">
      <c r="Q843" s="3"/>
      <c r="R843" s="4"/>
    </row>
    <row r="844" ht="17.25" customHeight="1">
      <c r="Q844" s="3"/>
      <c r="R844" s="4"/>
    </row>
    <row r="845" ht="17.25" customHeight="1">
      <c r="Q845" s="3"/>
      <c r="R845" s="4"/>
    </row>
    <row r="846" ht="17.25" customHeight="1">
      <c r="Q846" s="3"/>
      <c r="R846" s="4"/>
    </row>
    <row r="847" ht="17.25" customHeight="1">
      <c r="Q847" s="3"/>
      <c r="R847" s="4"/>
    </row>
    <row r="848" ht="17.25" customHeight="1">
      <c r="Q848" s="3"/>
      <c r="R848" s="4"/>
    </row>
    <row r="849" ht="17.25" customHeight="1">
      <c r="Q849" s="3"/>
      <c r="R849" s="4"/>
    </row>
    <row r="850" ht="17.25" customHeight="1">
      <c r="Q850" s="3"/>
      <c r="R850" s="4"/>
    </row>
    <row r="851" ht="17.25" customHeight="1">
      <c r="Q851" s="3"/>
      <c r="R851" s="4"/>
    </row>
    <row r="852" ht="17.25" customHeight="1">
      <c r="Q852" s="3"/>
      <c r="R852" s="4"/>
    </row>
    <row r="853" ht="17.25" customHeight="1">
      <c r="Q853" s="3"/>
      <c r="R853" s="4"/>
    </row>
    <row r="854" ht="17.25" customHeight="1">
      <c r="Q854" s="3"/>
      <c r="R854" s="4"/>
    </row>
    <row r="855" ht="17.25" customHeight="1">
      <c r="Q855" s="3"/>
      <c r="R855" s="4"/>
    </row>
    <row r="856" ht="17.25" customHeight="1">
      <c r="Q856" s="3"/>
      <c r="R856" s="4"/>
    </row>
    <row r="857" ht="17.25" customHeight="1">
      <c r="Q857" s="3"/>
      <c r="R857" s="4"/>
    </row>
    <row r="858" ht="17.25" customHeight="1">
      <c r="Q858" s="3"/>
      <c r="R858" s="4"/>
    </row>
    <row r="859" ht="17.25" customHeight="1">
      <c r="Q859" s="3"/>
      <c r="R859" s="4"/>
    </row>
    <row r="860" ht="17.25" customHeight="1">
      <c r="Q860" s="3"/>
      <c r="R860" s="4"/>
    </row>
    <row r="861" ht="17.25" customHeight="1">
      <c r="Q861" s="3"/>
      <c r="R861" s="4"/>
    </row>
    <row r="862" ht="17.25" customHeight="1">
      <c r="Q862" s="3"/>
      <c r="R862" s="4"/>
    </row>
    <row r="863" ht="17.25" customHeight="1">
      <c r="Q863" s="3"/>
      <c r="R863" s="4"/>
    </row>
    <row r="864" ht="17.25" customHeight="1">
      <c r="Q864" s="3"/>
      <c r="R864" s="4"/>
    </row>
    <row r="865" ht="17.25" customHeight="1">
      <c r="Q865" s="3"/>
      <c r="R865" s="4"/>
    </row>
    <row r="866" ht="17.25" customHeight="1">
      <c r="Q866" s="3"/>
      <c r="R866" s="4"/>
    </row>
    <row r="867" ht="17.25" customHeight="1">
      <c r="Q867" s="3"/>
      <c r="R867" s="4"/>
    </row>
    <row r="868" ht="17.25" customHeight="1">
      <c r="Q868" s="3"/>
      <c r="R868" s="4"/>
    </row>
    <row r="869" ht="17.25" customHeight="1">
      <c r="Q869" s="3"/>
      <c r="R869" s="4"/>
    </row>
    <row r="870" ht="17.25" customHeight="1">
      <c r="Q870" s="3"/>
      <c r="R870" s="4"/>
    </row>
    <row r="871" ht="17.25" customHeight="1">
      <c r="Q871" s="3"/>
      <c r="R871" s="4"/>
    </row>
    <row r="872" ht="17.25" customHeight="1">
      <c r="Q872" s="3"/>
      <c r="R872" s="4"/>
    </row>
    <row r="873" ht="17.25" customHeight="1">
      <c r="Q873" s="3"/>
      <c r="R873" s="4"/>
    </row>
    <row r="874" ht="17.25" customHeight="1">
      <c r="Q874" s="3"/>
      <c r="R874" s="4"/>
    </row>
    <row r="875" ht="17.25" customHeight="1">
      <c r="Q875" s="3"/>
      <c r="R875" s="4"/>
    </row>
    <row r="876" ht="17.25" customHeight="1">
      <c r="Q876" s="3"/>
      <c r="R876" s="4"/>
    </row>
    <row r="877" ht="17.25" customHeight="1">
      <c r="Q877" s="3"/>
      <c r="R877" s="4"/>
    </row>
    <row r="878" ht="17.25" customHeight="1">
      <c r="Q878" s="3"/>
      <c r="R878" s="4"/>
    </row>
    <row r="879" ht="17.25" customHeight="1">
      <c r="Q879" s="3"/>
      <c r="R879" s="4"/>
    </row>
    <row r="880" ht="17.25" customHeight="1">
      <c r="Q880" s="3"/>
      <c r="R880" s="4"/>
    </row>
    <row r="881" ht="17.25" customHeight="1">
      <c r="Q881" s="3"/>
      <c r="R881" s="4"/>
    </row>
    <row r="882" ht="17.25" customHeight="1">
      <c r="Q882" s="3"/>
      <c r="R882" s="4"/>
    </row>
    <row r="883" ht="17.25" customHeight="1">
      <c r="Q883" s="3"/>
      <c r="R883" s="4"/>
    </row>
    <row r="884" ht="17.25" customHeight="1">
      <c r="Q884" s="3"/>
      <c r="R884" s="4"/>
    </row>
    <row r="885" ht="17.25" customHeight="1">
      <c r="Q885" s="3"/>
      <c r="R885" s="4"/>
    </row>
    <row r="886" ht="17.25" customHeight="1">
      <c r="Q886" s="3"/>
      <c r="R886" s="4"/>
    </row>
    <row r="887" ht="17.25" customHeight="1">
      <c r="Q887" s="3"/>
      <c r="R887" s="4"/>
    </row>
    <row r="888" ht="17.25" customHeight="1">
      <c r="Q888" s="3"/>
      <c r="R888" s="4"/>
    </row>
    <row r="889" ht="17.25" customHeight="1">
      <c r="Q889" s="3"/>
      <c r="R889" s="4"/>
    </row>
    <row r="890" ht="17.25" customHeight="1">
      <c r="Q890" s="3"/>
      <c r="R890" s="4"/>
    </row>
    <row r="891" ht="17.25" customHeight="1">
      <c r="Q891" s="3"/>
      <c r="R891" s="4"/>
    </row>
    <row r="892" ht="17.25" customHeight="1">
      <c r="Q892" s="3"/>
      <c r="R892" s="4"/>
    </row>
    <row r="893" ht="17.25" customHeight="1">
      <c r="Q893" s="3"/>
      <c r="R893" s="4"/>
    </row>
    <row r="894" ht="17.25" customHeight="1">
      <c r="Q894" s="3"/>
      <c r="R894" s="4"/>
    </row>
    <row r="895" ht="17.25" customHeight="1">
      <c r="Q895" s="3"/>
      <c r="R895" s="4"/>
    </row>
    <row r="896" ht="17.25" customHeight="1">
      <c r="Q896" s="3"/>
      <c r="R896" s="4"/>
    </row>
    <row r="897" ht="17.25" customHeight="1">
      <c r="Q897" s="3"/>
      <c r="R897" s="4"/>
    </row>
    <row r="898" ht="17.25" customHeight="1">
      <c r="Q898" s="3"/>
      <c r="R898" s="4"/>
    </row>
    <row r="899" ht="17.25" customHeight="1">
      <c r="Q899" s="3"/>
      <c r="R899" s="4"/>
    </row>
    <row r="900" ht="17.25" customHeight="1">
      <c r="Q900" s="3"/>
      <c r="R900" s="4"/>
    </row>
    <row r="901" ht="17.25" customHeight="1">
      <c r="Q901" s="3"/>
      <c r="R901" s="4"/>
    </row>
    <row r="902" ht="17.25" customHeight="1">
      <c r="Q902" s="3"/>
      <c r="R902" s="4"/>
    </row>
    <row r="903" ht="17.25" customHeight="1">
      <c r="Q903" s="3"/>
      <c r="R903" s="4"/>
    </row>
    <row r="904" ht="17.25" customHeight="1">
      <c r="Q904" s="3"/>
      <c r="R904" s="4"/>
    </row>
    <row r="905" ht="17.25" customHeight="1">
      <c r="Q905" s="3"/>
      <c r="R905" s="4"/>
    </row>
    <row r="906" ht="17.25" customHeight="1">
      <c r="Q906" s="3"/>
      <c r="R906" s="4"/>
    </row>
    <row r="907" ht="17.25" customHeight="1">
      <c r="Q907" s="3"/>
      <c r="R907" s="4"/>
    </row>
    <row r="908" ht="17.25" customHeight="1">
      <c r="Q908" s="3"/>
      <c r="R908" s="4"/>
    </row>
    <row r="909" ht="17.25" customHeight="1">
      <c r="Q909" s="3"/>
      <c r="R909" s="4"/>
    </row>
    <row r="910" ht="17.25" customHeight="1">
      <c r="Q910" s="3"/>
      <c r="R910" s="4"/>
    </row>
    <row r="911" ht="17.25" customHeight="1">
      <c r="Q911" s="3"/>
      <c r="R911" s="4"/>
    </row>
    <row r="912" ht="17.25" customHeight="1">
      <c r="Q912" s="3"/>
      <c r="R912" s="4"/>
    </row>
    <row r="913" ht="17.25" customHeight="1">
      <c r="Q913" s="3"/>
      <c r="R913" s="4"/>
    </row>
    <row r="914" ht="17.25" customHeight="1">
      <c r="Q914" s="3"/>
      <c r="R914" s="4"/>
    </row>
    <row r="915" ht="17.25" customHeight="1">
      <c r="Q915" s="3"/>
      <c r="R915" s="4"/>
    </row>
    <row r="916" ht="17.25" customHeight="1">
      <c r="Q916" s="3"/>
      <c r="R916" s="4"/>
    </row>
    <row r="917" ht="17.25" customHeight="1">
      <c r="Q917" s="3"/>
      <c r="R917" s="4"/>
    </row>
    <row r="918" ht="17.25" customHeight="1">
      <c r="Q918" s="3"/>
      <c r="R918" s="4"/>
    </row>
    <row r="919" ht="17.25" customHeight="1">
      <c r="Q919" s="3"/>
      <c r="R919" s="4"/>
    </row>
    <row r="920" ht="17.25" customHeight="1">
      <c r="Q920" s="3"/>
      <c r="R920" s="4"/>
    </row>
    <row r="921" ht="17.25" customHeight="1">
      <c r="Q921" s="3"/>
      <c r="R921" s="4"/>
    </row>
    <row r="922" ht="17.25" customHeight="1">
      <c r="Q922" s="3"/>
      <c r="R922" s="4"/>
    </row>
    <row r="923" ht="17.25" customHeight="1">
      <c r="Q923" s="3"/>
      <c r="R923" s="4"/>
    </row>
    <row r="924" ht="17.25" customHeight="1">
      <c r="Q924" s="3"/>
      <c r="R924" s="4"/>
    </row>
    <row r="925" ht="17.25" customHeight="1">
      <c r="Q925" s="3"/>
      <c r="R925" s="4"/>
    </row>
    <row r="926" ht="17.25" customHeight="1">
      <c r="Q926" s="3"/>
      <c r="R926" s="4"/>
    </row>
    <row r="927" ht="17.25" customHeight="1">
      <c r="Q927" s="3"/>
      <c r="R927" s="4"/>
    </row>
    <row r="928" ht="17.25" customHeight="1">
      <c r="Q928" s="3"/>
      <c r="R928" s="4"/>
    </row>
    <row r="929" ht="17.25" customHeight="1">
      <c r="Q929" s="3"/>
      <c r="R929" s="4"/>
    </row>
    <row r="930" ht="17.25" customHeight="1">
      <c r="Q930" s="3"/>
      <c r="R930" s="4"/>
    </row>
    <row r="931" ht="17.25" customHeight="1">
      <c r="Q931" s="3"/>
      <c r="R931" s="4"/>
    </row>
    <row r="932" ht="17.25" customHeight="1">
      <c r="Q932" s="3"/>
      <c r="R932" s="4"/>
    </row>
    <row r="933" ht="17.25" customHeight="1">
      <c r="Q933" s="3"/>
      <c r="R933" s="4"/>
    </row>
    <row r="934" ht="17.25" customHeight="1">
      <c r="Q934" s="3"/>
      <c r="R934" s="4"/>
    </row>
    <row r="935" ht="17.25" customHeight="1">
      <c r="Q935" s="3"/>
      <c r="R935" s="4"/>
    </row>
    <row r="936" ht="17.25" customHeight="1">
      <c r="Q936" s="3"/>
      <c r="R936" s="4"/>
    </row>
    <row r="937" ht="17.25" customHeight="1">
      <c r="Q937" s="3"/>
      <c r="R937" s="4"/>
    </row>
    <row r="938" ht="17.25" customHeight="1">
      <c r="Q938" s="3"/>
      <c r="R938" s="4"/>
    </row>
    <row r="939" ht="17.25" customHeight="1">
      <c r="Q939" s="3"/>
      <c r="R939" s="4"/>
    </row>
    <row r="940" ht="17.25" customHeight="1">
      <c r="Q940" s="3"/>
      <c r="R940" s="4"/>
    </row>
    <row r="941" ht="17.25" customHeight="1">
      <c r="Q941" s="3"/>
      <c r="R941" s="4"/>
    </row>
    <row r="942" ht="17.25" customHeight="1">
      <c r="Q942" s="3"/>
      <c r="R942" s="4"/>
    </row>
    <row r="943" ht="17.25" customHeight="1">
      <c r="Q943" s="3"/>
      <c r="R943" s="4"/>
    </row>
    <row r="944" ht="17.25" customHeight="1">
      <c r="Q944" s="3"/>
      <c r="R944" s="4"/>
    </row>
    <row r="945" ht="17.25" customHeight="1">
      <c r="Q945" s="3"/>
      <c r="R945" s="4"/>
    </row>
    <row r="946" ht="17.25" customHeight="1">
      <c r="Q946" s="3"/>
      <c r="R946" s="4"/>
    </row>
    <row r="947" ht="17.25" customHeight="1">
      <c r="Q947" s="3"/>
      <c r="R947" s="4"/>
    </row>
    <row r="948" ht="17.25" customHeight="1">
      <c r="Q948" s="3"/>
      <c r="R948" s="4"/>
    </row>
    <row r="949" ht="17.25" customHeight="1">
      <c r="Q949" s="3"/>
      <c r="R949" s="4"/>
    </row>
    <row r="950" ht="17.25" customHeight="1">
      <c r="Q950" s="3"/>
      <c r="R950" s="4"/>
    </row>
    <row r="951" ht="17.25" customHeight="1">
      <c r="Q951" s="3"/>
      <c r="R951" s="4"/>
    </row>
    <row r="952" ht="17.25" customHeight="1">
      <c r="Q952" s="3"/>
      <c r="R952" s="4"/>
    </row>
    <row r="953" ht="17.25" customHeight="1">
      <c r="Q953" s="3"/>
      <c r="R953" s="4"/>
    </row>
    <row r="954" ht="17.25" customHeight="1">
      <c r="Q954" s="3"/>
      <c r="R954" s="4"/>
    </row>
    <row r="955" ht="17.25" customHeight="1">
      <c r="Q955" s="3"/>
      <c r="R955" s="4"/>
    </row>
    <row r="956" ht="17.25" customHeight="1">
      <c r="Q956" s="3"/>
      <c r="R956" s="4"/>
    </row>
    <row r="957" ht="17.25" customHeight="1">
      <c r="Q957" s="3"/>
      <c r="R957" s="4"/>
    </row>
    <row r="958" ht="17.25" customHeight="1">
      <c r="Q958" s="3"/>
      <c r="R958" s="4"/>
    </row>
    <row r="959" ht="17.25" customHeight="1">
      <c r="Q959" s="3"/>
      <c r="R959" s="4"/>
    </row>
    <row r="960" ht="17.25" customHeight="1">
      <c r="Q960" s="3"/>
      <c r="R960" s="4"/>
    </row>
    <row r="961" ht="17.25" customHeight="1">
      <c r="Q961" s="3"/>
      <c r="R961" s="4"/>
    </row>
    <row r="962" ht="17.25" customHeight="1">
      <c r="Q962" s="3"/>
      <c r="R962" s="4"/>
    </row>
    <row r="963" ht="17.25" customHeight="1">
      <c r="Q963" s="3"/>
      <c r="R963" s="4"/>
    </row>
    <row r="964" ht="17.25" customHeight="1">
      <c r="Q964" s="3"/>
      <c r="R964" s="4"/>
    </row>
    <row r="965" ht="17.25" customHeight="1">
      <c r="Q965" s="3"/>
      <c r="R965" s="4"/>
    </row>
    <row r="966" ht="17.25" customHeight="1">
      <c r="Q966" s="3"/>
      <c r="R966" s="4"/>
    </row>
    <row r="967" ht="17.25" customHeight="1">
      <c r="Q967" s="3"/>
      <c r="R967" s="4"/>
    </row>
    <row r="968" ht="17.25" customHeight="1">
      <c r="Q968" s="3"/>
      <c r="R968" s="4"/>
    </row>
    <row r="969" ht="17.25" customHeight="1">
      <c r="Q969" s="3"/>
      <c r="R969" s="4"/>
    </row>
    <row r="970" ht="17.25" customHeight="1">
      <c r="Q970" s="3"/>
      <c r="R970" s="4"/>
    </row>
    <row r="971" ht="17.25" customHeight="1">
      <c r="Q971" s="3"/>
      <c r="R971" s="4"/>
    </row>
    <row r="972" ht="17.25" customHeight="1">
      <c r="Q972" s="3"/>
      <c r="R972" s="4"/>
    </row>
    <row r="973" ht="17.25" customHeight="1">
      <c r="Q973" s="3"/>
      <c r="R973" s="4"/>
    </row>
    <row r="974" ht="17.25" customHeight="1">
      <c r="Q974" s="3"/>
      <c r="R974" s="4"/>
    </row>
    <row r="975" ht="17.25" customHeight="1">
      <c r="Q975" s="3"/>
      <c r="R975" s="4"/>
    </row>
    <row r="976" ht="17.25" customHeight="1">
      <c r="Q976" s="3"/>
      <c r="R976" s="4"/>
    </row>
    <row r="977" ht="17.25" customHeight="1">
      <c r="Q977" s="3"/>
      <c r="R977" s="4"/>
    </row>
    <row r="978" ht="17.25" customHeight="1">
      <c r="Q978" s="3"/>
      <c r="R978" s="4"/>
    </row>
    <row r="979" ht="17.25" customHeight="1">
      <c r="Q979" s="3"/>
      <c r="R979" s="4"/>
    </row>
    <row r="980" ht="17.25" customHeight="1">
      <c r="Q980" s="3"/>
      <c r="R980" s="4"/>
    </row>
    <row r="981" ht="17.25" customHeight="1">
      <c r="Q981" s="3"/>
      <c r="R981" s="4"/>
    </row>
    <row r="982" ht="17.25" customHeight="1">
      <c r="Q982" s="3"/>
      <c r="R982" s="4"/>
    </row>
    <row r="983" ht="17.25" customHeight="1">
      <c r="Q983" s="3"/>
      <c r="R983" s="4"/>
    </row>
    <row r="984" ht="17.25" customHeight="1">
      <c r="Q984" s="3"/>
      <c r="R984" s="4"/>
    </row>
    <row r="985" ht="17.25" customHeight="1">
      <c r="Q985" s="3"/>
      <c r="R985" s="4"/>
    </row>
    <row r="986" ht="17.25" customHeight="1">
      <c r="Q986" s="3"/>
      <c r="R986" s="4"/>
    </row>
    <row r="987" ht="17.25" customHeight="1">
      <c r="Q987" s="3"/>
      <c r="R987" s="4"/>
    </row>
    <row r="988" ht="17.25" customHeight="1">
      <c r="Q988" s="3"/>
      <c r="R988" s="4"/>
    </row>
    <row r="989" ht="17.25" customHeight="1">
      <c r="Q989" s="3"/>
      <c r="R989" s="4"/>
    </row>
    <row r="990" ht="17.25" customHeight="1">
      <c r="Q990" s="3"/>
      <c r="R990" s="4"/>
    </row>
    <row r="991" ht="17.25" customHeight="1">
      <c r="Q991" s="3"/>
      <c r="R991" s="4"/>
    </row>
    <row r="992" ht="17.25" customHeight="1">
      <c r="Q992" s="3"/>
      <c r="R992" s="4"/>
    </row>
    <row r="993" ht="17.25" customHeight="1">
      <c r="Q993" s="3"/>
      <c r="R993" s="4"/>
    </row>
    <row r="994" ht="17.25" customHeight="1">
      <c r="Q994" s="3"/>
      <c r="R994" s="4"/>
    </row>
    <row r="995" ht="17.25" customHeight="1">
      <c r="Q995" s="3"/>
      <c r="R995" s="4"/>
    </row>
    <row r="996" ht="17.25" customHeight="1">
      <c r="Q996" s="3"/>
      <c r="R996" s="4"/>
    </row>
    <row r="997" ht="17.25" customHeight="1">
      <c r="Q997" s="3"/>
      <c r="R997" s="4"/>
    </row>
    <row r="998" ht="17.25" customHeight="1">
      <c r="Q998" s="3"/>
      <c r="R998" s="4"/>
    </row>
    <row r="999" ht="17.25" customHeight="1">
      <c r="Q999" s="3"/>
      <c r="R999" s="4"/>
    </row>
    <row r="1000" ht="17.25" customHeight="1">
      <c r="Q1000" s="3"/>
      <c r="R1000" s="4"/>
    </row>
  </sheetData>
  <autoFilter ref="$A$1:$W$9"/>
  <mergeCells count="1">
    <mergeCell ref="AB2:AB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1.43"/>
    <col customWidth="1" min="4" max="5" width="16.29"/>
    <col customWidth="1" min="6" max="16" width="8.71"/>
    <col customWidth="1" min="17" max="17" width="8.86"/>
    <col customWidth="1" min="18" max="18" width="14.14"/>
    <col customWidth="1" min="19" max="24" width="8.71"/>
    <col customWidth="1" min="25" max="25" width="34.14"/>
    <col customWidth="1" min="26" max="28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130</v>
      </c>
      <c r="B2" s="2">
        <v>45806.45489583333</v>
      </c>
      <c r="C2" s="2">
        <v>45806.45489583333</v>
      </c>
      <c r="D2" s="2">
        <v>45807.70070601852</v>
      </c>
      <c r="F2" s="1" t="s">
        <v>261</v>
      </c>
      <c r="G2" s="1" t="s">
        <v>262</v>
      </c>
      <c r="H2" s="1" t="s">
        <v>263</v>
      </c>
      <c r="I2" s="1" t="s">
        <v>264</v>
      </c>
      <c r="J2" s="1" t="s">
        <v>263</v>
      </c>
      <c r="K2" s="1" t="s">
        <v>264</v>
      </c>
      <c r="L2" s="1" t="s">
        <v>264</v>
      </c>
      <c r="M2" s="1">
        <v>34083.0</v>
      </c>
      <c r="N2" s="1" t="s">
        <v>265</v>
      </c>
      <c r="O2" s="1" t="s">
        <v>30</v>
      </c>
      <c r="P2" s="1" t="s">
        <v>31</v>
      </c>
      <c r="Q2" s="3">
        <v>1.0</v>
      </c>
      <c r="R2" s="4">
        <v>5.89065074524E11</v>
      </c>
      <c r="T2" s="1">
        <v>175000.0</v>
      </c>
      <c r="U2" s="1">
        <v>0.0</v>
      </c>
      <c r="V2" s="1">
        <v>0.0</v>
      </c>
      <c r="W2" s="1">
        <v>175000.0</v>
      </c>
      <c r="Y2" s="1" t="s">
        <v>113</v>
      </c>
      <c r="Z2" s="5">
        <f t="shared" ref="Z2:Z6" si="1">SUMIF($P$2:$P$583,Y2,$Q$2:$Q$583)</f>
        <v>0</v>
      </c>
      <c r="AA2" s="3">
        <f>Z2</f>
        <v>0</v>
      </c>
      <c r="AB2" s="6">
        <f>AA2+AA3+AA4+AA5</f>
        <v>0</v>
      </c>
    </row>
    <row r="3" ht="17.25" customHeight="1">
      <c r="A3" s="1" t="s">
        <v>130</v>
      </c>
      <c r="B3" s="2">
        <v>45806.799895833334</v>
      </c>
      <c r="C3" s="2">
        <v>45806.799895833334</v>
      </c>
      <c r="D3" s="2">
        <v>45807.6980787037</v>
      </c>
      <c r="F3" s="1" t="s">
        <v>266</v>
      </c>
      <c r="G3" s="1" t="s">
        <v>267</v>
      </c>
      <c r="H3" s="1" t="s">
        <v>268</v>
      </c>
      <c r="I3" s="1" t="s">
        <v>269</v>
      </c>
      <c r="J3" s="1" t="s">
        <v>270</v>
      </c>
      <c r="K3" s="1" t="s">
        <v>269</v>
      </c>
      <c r="L3" s="1" t="s">
        <v>269</v>
      </c>
      <c r="M3" s="1">
        <v>4393.0</v>
      </c>
      <c r="N3" s="1" t="s">
        <v>271</v>
      </c>
      <c r="O3" s="1" t="s">
        <v>30</v>
      </c>
      <c r="P3" s="1" t="s">
        <v>31</v>
      </c>
      <c r="Q3" s="3">
        <v>1.0</v>
      </c>
      <c r="R3" s="4">
        <v>5.89065074071E11</v>
      </c>
      <c r="T3" s="1">
        <v>350000.0</v>
      </c>
      <c r="U3" s="1">
        <v>0.0</v>
      </c>
      <c r="V3" s="1">
        <v>0.0</v>
      </c>
      <c r="W3" s="1">
        <v>350000.0</v>
      </c>
      <c r="Y3" s="1" t="s">
        <v>54</v>
      </c>
      <c r="Z3" s="5">
        <f t="shared" si="1"/>
        <v>0</v>
      </c>
      <c r="AA3" s="3">
        <f>Z3*2</f>
        <v>0</v>
      </c>
    </row>
    <row r="4" ht="17.25" customHeight="1">
      <c r="A4" s="1" t="s">
        <v>130</v>
      </c>
      <c r="B4" s="2">
        <v>45806.93493055556</v>
      </c>
      <c r="C4" s="2">
        <v>45806.93493055556</v>
      </c>
      <c r="D4" s="2">
        <v>45807.70082175926</v>
      </c>
      <c r="F4" s="1" t="s">
        <v>272</v>
      </c>
      <c r="G4" s="1" t="s">
        <v>273</v>
      </c>
      <c r="H4" s="1" t="s">
        <v>274</v>
      </c>
      <c r="I4" s="1" t="s">
        <v>275</v>
      </c>
      <c r="J4" s="1" t="s">
        <v>274</v>
      </c>
      <c r="K4" s="1" t="s">
        <v>275</v>
      </c>
      <c r="L4" s="1" t="s">
        <v>275</v>
      </c>
      <c r="M4" s="1">
        <v>28638.0</v>
      </c>
      <c r="N4" s="1" t="s">
        <v>276</v>
      </c>
      <c r="O4" s="1" t="s">
        <v>30</v>
      </c>
      <c r="P4" s="1" t="s">
        <v>31</v>
      </c>
      <c r="Q4" s="3">
        <v>1.0</v>
      </c>
      <c r="R4" s="4">
        <v>5.89065074513E11</v>
      </c>
      <c r="T4" s="1">
        <v>175000.0</v>
      </c>
      <c r="U4" s="1">
        <v>0.0</v>
      </c>
      <c r="V4" s="1">
        <v>0.0</v>
      </c>
      <c r="W4" s="1">
        <v>175000.0</v>
      </c>
      <c r="Y4" s="1" t="s">
        <v>314</v>
      </c>
      <c r="Z4" s="5">
        <f t="shared" si="1"/>
        <v>0</v>
      </c>
      <c r="AA4" s="3">
        <f>Z4*3</f>
        <v>0</v>
      </c>
    </row>
    <row r="5" ht="17.25" customHeight="1">
      <c r="Q5" s="3"/>
      <c r="R5" s="4"/>
      <c r="Y5" s="1" t="s">
        <v>153</v>
      </c>
      <c r="Z5" s="5">
        <f t="shared" si="1"/>
        <v>0</v>
      </c>
      <c r="AA5" s="3">
        <f>Z5*4</f>
        <v>0</v>
      </c>
    </row>
    <row r="6" ht="17.25" customHeight="1">
      <c r="Q6" s="3"/>
      <c r="R6" s="4"/>
      <c r="Y6" s="7" t="s">
        <v>31</v>
      </c>
      <c r="Z6" s="6">
        <f t="shared" si="1"/>
        <v>3</v>
      </c>
      <c r="AA6" s="3"/>
      <c r="AB6" s="3"/>
    </row>
    <row r="7" ht="17.25" customHeight="1">
      <c r="Q7" s="3"/>
      <c r="R7" s="4"/>
    </row>
    <row r="8" ht="17.25" customHeight="1">
      <c r="Q8" s="3"/>
      <c r="R8" s="4"/>
    </row>
    <row r="9" ht="17.25" customHeight="1">
      <c r="Q9" s="3"/>
      <c r="R9" s="4"/>
    </row>
    <row r="10" ht="17.25" customHeight="1">
      <c r="Q10" s="3"/>
      <c r="R10" s="4"/>
    </row>
    <row r="11" ht="17.25" customHeight="1">
      <c r="Q11" s="3"/>
      <c r="R11" s="4"/>
    </row>
    <row r="12" ht="17.25" customHeight="1">
      <c r="Q12" s="3"/>
      <c r="R12" s="4"/>
    </row>
    <row r="13" ht="17.25" customHeight="1">
      <c r="Q13" s="3"/>
      <c r="R13" s="4"/>
    </row>
    <row r="14" ht="17.25" customHeight="1">
      <c r="Q14" s="3"/>
      <c r="R14" s="4"/>
    </row>
    <row r="15" ht="17.25" customHeight="1">
      <c r="Q15" s="3"/>
      <c r="R15" s="4"/>
    </row>
    <row r="16" ht="17.25" customHeight="1">
      <c r="Q16" s="3"/>
      <c r="R16" s="4"/>
    </row>
    <row r="17" ht="17.25" customHeight="1">
      <c r="Q17" s="3"/>
      <c r="R17" s="4"/>
    </row>
    <row r="18" ht="17.25" customHeight="1">
      <c r="Q18" s="3"/>
      <c r="R18" s="4"/>
    </row>
    <row r="19" ht="17.25" customHeight="1">
      <c r="Q19" s="3"/>
      <c r="R19" s="4"/>
    </row>
    <row r="20" ht="17.25" customHeight="1">
      <c r="Q20" s="3"/>
      <c r="R20" s="4"/>
    </row>
    <row r="21" ht="17.25" customHeight="1">
      <c r="Q21" s="3"/>
      <c r="R21" s="4"/>
    </row>
    <row r="22" ht="17.25" customHeight="1">
      <c r="Q22" s="3"/>
      <c r="R22" s="4"/>
    </row>
    <row r="23" ht="17.25" customHeight="1">
      <c r="Q23" s="3"/>
      <c r="R23" s="4"/>
    </row>
    <row r="24" ht="17.25" customHeight="1">
      <c r="Q24" s="3"/>
      <c r="R24" s="4"/>
    </row>
    <row r="25" ht="17.25" customHeight="1">
      <c r="Q25" s="3"/>
      <c r="R25" s="4"/>
    </row>
    <row r="26" ht="17.25" customHeight="1">
      <c r="Q26" s="3"/>
      <c r="R26" s="4"/>
    </row>
    <row r="27" ht="17.25" customHeight="1">
      <c r="Q27" s="3"/>
      <c r="R27" s="4"/>
    </row>
    <row r="28" ht="17.25" customHeight="1">
      <c r="Q28" s="3"/>
      <c r="R28" s="4"/>
    </row>
    <row r="29" ht="17.25" customHeight="1">
      <c r="Q29" s="3"/>
      <c r="R29" s="4"/>
    </row>
    <row r="30" ht="17.25" customHeight="1">
      <c r="Q30" s="3"/>
      <c r="R30" s="4"/>
    </row>
    <row r="31" ht="17.25" customHeight="1">
      <c r="Q31" s="3"/>
      <c r="R31" s="4"/>
    </row>
    <row r="32" ht="17.25" customHeight="1">
      <c r="Q32" s="3"/>
      <c r="R32" s="4"/>
    </row>
    <row r="33" ht="17.25" customHeight="1">
      <c r="Q33" s="3"/>
      <c r="R33" s="4"/>
    </row>
    <row r="34" ht="17.25" customHeight="1">
      <c r="Q34" s="3"/>
      <c r="R34" s="4"/>
    </row>
    <row r="35" ht="17.25" customHeight="1">
      <c r="Q35" s="3"/>
      <c r="R35" s="4"/>
    </row>
    <row r="36" ht="17.25" customHeight="1">
      <c r="Q36" s="3"/>
      <c r="R36" s="4"/>
    </row>
    <row r="37" ht="17.25" customHeight="1">
      <c r="Q37" s="3"/>
      <c r="R37" s="4"/>
    </row>
    <row r="38" ht="17.25" customHeight="1">
      <c r="Q38" s="3"/>
      <c r="R38" s="4"/>
    </row>
    <row r="39" ht="17.25" customHeight="1">
      <c r="Q39" s="3"/>
      <c r="R39" s="4"/>
    </row>
    <row r="40" ht="17.25" customHeight="1">
      <c r="Q40" s="3"/>
      <c r="R40" s="4"/>
    </row>
    <row r="41" ht="17.25" customHeight="1">
      <c r="Q41" s="3"/>
      <c r="R41" s="4"/>
    </row>
    <row r="42" ht="17.25" customHeight="1">
      <c r="Q42" s="3"/>
      <c r="R42" s="4"/>
    </row>
    <row r="43" ht="17.25" customHeight="1">
      <c r="Q43" s="3"/>
      <c r="R43" s="4"/>
    </row>
    <row r="44" ht="17.25" customHeight="1">
      <c r="Q44" s="3"/>
      <c r="R44" s="4"/>
    </row>
    <row r="45" ht="17.25" customHeight="1">
      <c r="Q45" s="3"/>
      <c r="R45" s="4"/>
    </row>
    <row r="46" ht="17.25" customHeight="1">
      <c r="Q46" s="3"/>
      <c r="R46" s="4"/>
    </row>
    <row r="47" ht="17.25" customHeight="1">
      <c r="Q47" s="3"/>
      <c r="R47" s="4"/>
    </row>
    <row r="48" ht="17.25" customHeight="1">
      <c r="Q48" s="3"/>
      <c r="R48" s="4"/>
    </row>
    <row r="49" ht="17.25" customHeight="1">
      <c r="Q49" s="3"/>
      <c r="R49" s="4"/>
    </row>
    <row r="50" ht="17.25" customHeight="1">
      <c r="Q50" s="3"/>
      <c r="R50" s="4"/>
    </row>
    <row r="51" ht="17.25" customHeight="1">
      <c r="Q51" s="3"/>
      <c r="R51" s="4"/>
    </row>
    <row r="52" ht="17.25" customHeight="1">
      <c r="Q52" s="3"/>
      <c r="R52" s="4"/>
    </row>
    <row r="53" ht="17.25" customHeight="1">
      <c r="Q53" s="3"/>
      <c r="R53" s="4"/>
    </row>
    <row r="54" ht="17.25" customHeight="1">
      <c r="Q54" s="3"/>
      <c r="R54" s="4"/>
    </row>
    <row r="55" ht="17.25" customHeight="1">
      <c r="Q55" s="3"/>
      <c r="R55" s="4"/>
    </row>
    <row r="56" ht="17.25" customHeight="1">
      <c r="Q56" s="3"/>
      <c r="R56" s="4"/>
    </row>
    <row r="57" ht="17.25" customHeight="1">
      <c r="Q57" s="3"/>
      <c r="R57" s="4"/>
    </row>
    <row r="58" ht="17.25" customHeight="1">
      <c r="Q58" s="3"/>
      <c r="R58" s="4"/>
    </row>
    <row r="59" ht="17.25" customHeight="1">
      <c r="Q59" s="3"/>
      <c r="R59" s="4"/>
    </row>
    <row r="60" ht="17.25" customHeight="1">
      <c r="Q60" s="3"/>
      <c r="R60" s="4"/>
    </row>
    <row r="61" ht="17.25" customHeight="1">
      <c r="Q61" s="3"/>
      <c r="R61" s="4"/>
    </row>
    <row r="62" ht="17.25" customHeight="1">
      <c r="Q62" s="3"/>
      <c r="R62" s="4"/>
    </row>
    <row r="63" ht="17.25" customHeight="1">
      <c r="Q63" s="3"/>
      <c r="R63" s="4"/>
    </row>
    <row r="64" ht="17.25" customHeight="1">
      <c r="Q64" s="3"/>
      <c r="R64" s="4"/>
    </row>
    <row r="65" ht="17.25" customHeight="1">
      <c r="Q65" s="3"/>
      <c r="R65" s="4"/>
    </row>
    <row r="66" ht="17.25" customHeight="1">
      <c r="Q66" s="3"/>
      <c r="R66" s="4"/>
    </row>
    <row r="67" ht="17.25" customHeight="1">
      <c r="Q67" s="3"/>
      <c r="R67" s="4"/>
    </row>
    <row r="68" ht="17.25" customHeight="1">
      <c r="Q68" s="3"/>
      <c r="R68" s="4"/>
    </row>
    <row r="69" ht="17.25" customHeight="1">
      <c r="Q69" s="3"/>
      <c r="R69" s="4"/>
    </row>
    <row r="70" ht="17.25" customHeight="1">
      <c r="Q70" s="3"/>
      <c r="R70" s="4"/>
    </row>
    <row r="71" ht="17.25" customHeight="1">
      <c r="Q71" s="3"/>
      <c r="R71" s="4"/>
    </row>
    <row r="72" ht="17.25" customHeight="1">
      <c r="Q72" s="3"/>
      <c r="R72" s="4"/>
    </row>
    <row r="73" ht="17.25" customHeight="1">
      <c r="Q73" s="3"/>
      <c r="R73" s="4"/>
    </row>
    <row r="74" ht="17.25" customHeight="1">
      <c r="Q74" s="3"/>
      <c r="R74" s="4"/>
    </row>
    <row r="75" ht="17.25" customHeight="1">
      <c r="Q75" s="3"/>
      <c r="R75" s="4"/>
    </row>
    <row r="76" ht="17.25" customHeight="1">
      <c r="Q76" s="3"/>
      <c r="R76" s="4"/>
    </row>
    <row r="77" ht="17.25" customHeight="1">
      <c r="Q77" s="3"/>
      <c r="R77" s="4"/>
    </row>
    <row r="78" ht="17.25" customHeight="1">
      <c r="Q78" s="3"/>
      <c r="R78" s="4"/>
    </row>
    <row r="79" ht="17.25" customHeight="1">
      <c r="Q79" s="3"/>
      <c r="R79" s="4"/>
    </row>
    <row r="80" ht="17.25" customHeight="1">
      <c r="Q80" s="3"/>
      <c r="R80" s="4"/>
    </row>
    <row r="81" ht="17.25" customHeight="1">
      <c r="Q81" s="3"/>
      <c r="R81" s="4"/>
    </row>
    <row r="82" ht="17.25" customHeight="1">
      <c r="Q82" s="3"/>
      <c r="R82" s="4"/>
    </row>
    <row r="83" ht="17.25" customHeight="1">
      <c r="Q83" s="3"/>
      <c r="R83" s="4"/>
    </row>
    <row r="84" ht="17.25" customHeight="1">
      <c r="Q84" s="3"/>
      <c r="R84" s="4"/>
    </row>
    <row r="85" ht="17.25" customHeight="1">
      <c r="Q85" s="3"/>
      <c r="R85" s="4"/>
    </row>
    <row r="86" ht="17.25" customHeight="1">
      <c r="Q86" s="3"/>
      <c r="R86" s="4"/>
    </row>
    <row r="87" ht="17.25" customHeight="1">
      <c r="Q87" s="3"/>
      <c r="R87" s="4"/>
    </row>
    <row r="88" ht="17.25" customHeight="1">
      <c r="Q88" s="3"/>
      <c r="R88" s="4"/>
    </row>
    <row r="89" ht="17.25" customHeight="1">
      <c r="Q89" s="3"/>
      <c r="R89" s="4"/>
    </row>
    <row r="90" ht="17.25" customHeight="1">
      <c r="Q90" s="3"/>
      <c r="R90" s="4"/>
    </row>
    <row r="91" ht="17.25" customHeight="1">
      <c r="Q91" s="3"/>
      <c r="R91" s="4"/>
    </row>
    <row r="92" ht="17.25" customHeight="1">
      <c r="Q92" s="3"/>
      <c r="R92" s="4"/>
    </row>
    <row r="93" ht="17.25" customHeight="1">
      <c r="Q93" s="3"/>
      <c r="R93" s="4"/>
    </row>
    <row r="94" ht="17.25" customHeight="1">
      <c r="Q94" s="3"/>
      <c r="R94" s="4"/>
    </row>
    <row r="95" ht="17.25" customHeight="1">
      <c r="Q95" s="3"/>
      <c r="R95" s="4"/>
    </row>
    <row r="96" ht="17.25" customHeight="1">
      <c r="Q96" s="3"/>
      <c r="R96" s="4"/>
    </row>
    <row r="97" ht="17.25" customHeight="1">
      <c r="Q97" s="3"/>
      <c r="R97" s="4"/>
    </row>
    <row r="98" ht="17.25" customHeight="1">
      <c r="Q98" s="3"/>
      <c r="R98" s="4"/>
    </row>
    <row r="99" ht="17.25" customHeight="1">
      <c r="Q99" s="3"/>
      <c r="R99" s="4"/>
    </row>
    <row r="100" ht="17.25" customHeight="1">
      <c r="Q100" s="3"/>
      <c r="R100" s="4"/>
    </row>
    <row r="101" ht="17.25" customHeight="1">
      <c r="Q101" s="3"/>
      <c r="R101" s="4"/>
    </row>
    <row r="102" ht="17.25" customHeight="1">
      <c r="Q102" s="3"/>
      <c r="R102" s="4"/>
    </row>
    <row r="103" ht="17.25" customHeight="1">
      <c r="Q103" s="3"/>
      <c r="R103" s="4"/>
    </row>
    <row r="104" ht="17.25" customHeight="1">
      <c r="Q104" s="3"/>
      <c r="R104" s="4"/>
    </row>
    <row r="105" ht="17.25" customHeight="1">
      <c r="Q105" s="3"/>
      <c r="R105" s="4"/>
    </row>
    <row r="106" ht="17.25" customHeight="1">
      <c r="Q106" s="3"/>
      <c r="R106" s="4"/>
    </row>
    <row r="107" ht="17.25" customHeight="1">
      <c r="Q107" s="3"/>
      <c r="R107" s="4"/>
    </row>
    <row r="108" ht="17.25" customHeight="1">
      <c r="Q108" s="3"/>
      <c r="R108" s="4"/>
    </row>
    <row r="109" ht="17.25" customHeight="1">
      <c r="Q109" s="3"/>
      <c r="R109" s="4"/>
    </row>
    <row r="110" ht="17.25" customHeight="1">
      <c r="Q110" s="3"/>
      <c r="R110" s="4"/>
    </row>
    <row r="111" ht="17.25" customHeight="1">
      <c r="Q111" s="3"/>
      <c r="R111" s="4"/>
    </row>
    <row r="112" ht="17.25" customHeight="1">
      <c r="Q112" s="3"/>
      <c r="R112" s="4"/>
    </row>
    <row r="113" ht="17.25" customHeight="1">
      <c r="Q113" s="3"/>
      <c r="R113" s="4"/>
    </row>
    <row r="114" ht="17.25" customHeight="1">
      <c r="Q114" s="3"/>
      <c r="R114" s="4"/>
    </row>
    <row r="115" ht="17.25" customHeight="1">
      <c r="Q115" s="3"/>
      <c r="R115" s="4"/>
    </row>
    <row r="116" ht="17.25" customHeight="1">
      <c r="Q116" s="3"/>
      <c r="R116" s="4"/>
    </row>
    <row r="117" ht="17.25" customHeight="1">
      <c r="Q117" s="3"/>
      <c r="R117" s="4"/>
    </row>
    <row r="118" ht="17.25" customHeight="1">
      <c r="Q118" s="3"/>
      <c r="R118" s="4"/>
    </row>
    <row r="119" ht="17.25" customHeight="1">
      <c r="Q119" s="3"/>
      <c r="R119" s="4"/>
    </row>
    <row r="120" ht="17.25" customHeight="1">
      <c r="Q120" s="3"/>
      <c r="R120" s="4"/>
    </row>
    <row r="121" ht="17.25" customHeight="1">
      <c r="Q121" s="3"/>
      <c r="R121" s="4"/>
    </row>
    <row r="122" ht="17.25" customHeight="1">
      <c r="Q122" s="3"/>
      <c r="R122" s="4"/>
    </row>
    <row r="123" ht="17.25" customHeight="1">
      <c r="Q123" s="3"/>
      <c r="R123" s="4"/>
    </row>
    <row r="124" ht="17.25" customHeight="1">
      <c r="Q124" s="3"/>
      <c r="R124" s="4"/>
    </row>
    <row r="125" ht="17.25" customHeight="1">
      <c r="Q125" s="3"/>
      <c r="R125" s="4"/>
    </row>
    <row r="126" ht="17.25" customHeight="1">
      <c r="Q126" s="3"/>
      <c r="R126" s="4"/>
    </row>
    <row r="127" ht="17.25" customHeight="1">
      <c r="Q127" s="3"/>
      <c r="R127" s="4"/>
    </row>
    <row r="128" ht="17.25" customHeight="1">
      <c r="Q128" s="3"/>
      <c r="R128" s="4"/>
    </row>
    <row r="129" ht="17.25" customHeight="1">
      <c r="Q129" s="3"/>
      <c r="R129" s="4"/>
    </row>
    <row r="130" ht="17.25" customHeight="1">
      <c r="Q130" s="3"/>
      <c r="R130" s="4"/>
    </row>
    <row r="131" ht="17.25" customHeight="1">
      <c r="Q131" s="3"/>
      <c r="R131" s="4"/>
    </row>
    <row r="132" ht="17.25" customHeight="1">
      <c r="Q132" s="3"/>
      <c r="R132" s="4"/>
    </row>
    <row r="133" ht="17.25" customHeight="1">
      <c r="Q133" s="3"/>
      <c r="R133" s="4"/>
    </row>
    <row r="134" ht="17.25" customHeight="1">
      <c r="Q134" s="3"/>
      <c r="R134" s="4"/>
    </row>
    <row r="135" ht="17.25" customHeight="1">
      <c r="Q135" s="3"/>
      <c r="R135" s="4"/>
    </row>
    <row r="136" ht="17.25" customHeight="1">
      <c r="Q136" s="3"/>
      <c r="R136" s="4"/>
    </row>
    <row r="137" ht="17.25" customHeight="1">
      <c r="Q137" s="3"/>
      <c r="R137" s="4"/>
    </row>
    <row r="138" ht="17.25" customHeight="1">
      <c r="Q138" s="3"/>
      <c r="R138" s="4"/>
    </row>
    <row r="139" ht="17.25" customHeight="1">
      <c r="Q139" s="3"/>
      <c r="R139" s="4"/>
    </row>
    <row r="140" ht="17.25" customHeight="1">
      <c r="Q140" s="3"/>
      <c r="R140" s="4"/>
    </row>
    <row r="141" ht="17.25" customHeight="1">
      <c r="Q141" s="3"/>
      <c r="R141" s="4"/>
    </row>
    <row r="142" ht="17.25" customHeight="1">
      <c r="Q142" s="3"/>
      <c r="R142" s="4"/>
    </row>
    <row r="143" ht="17.25" customHeight="1">
      <c r="Q143" s="3"/>
      <c r="R143" s="4"/>
    </row>
    <row r="144" ht="17.25" customHeight="1">
      <c r="Q144" s="3"/>
      <c r="R144" s="4"/>
    </row>
    <row r="145" ht="17.25" customHeight="1">
      <c r="Q145" s="3"/>
      <c r="R145" s="4"/>
    </row>
    <row r="146" ht="17.25" customHeight="1">
      <c r="Q146" s="3"/>
      <c r="R146" s="4"/>
    </row>
    <row r="147" ht="17.25" customHeight="1">
      <c r="Q147" s="3"/>
      <c r="R147" s="4"/>
    </row>
    <row r="148" ht="17.25" customHeight="1">
      <c r="Q148" s="3"/>
      <c r="R148" s="4"/>
    </row>
    <row r="149" ht="17.25" customHeight="1">
      <c r="Q149" s="3"/>
      <c r="R149" s="4"/>
    </row>
    <row r="150" ht="17.25" customHeight="1">
      <c r="Q150" s="3"/>
      <c r="R150" s="4"/>
    </row>
    <row r="151" ht="17.25" customHeight="1">
      <c r="Q151" s="3"/>
      <c r="R151" s="4"/>
    </row>
    <row r="152" ht="17.25" customHeight="1">
      <c r="Q152" s="3"/>
      <c r="R152" s="4"/>
    </row>
    <row r="153" ht="17.25" customHeight="1">
      <c r="Q153" s="3"/>
      <c r="R153" s="4"/>
    </row>
    <row r="154" ht="17.25" customHeight="1">
      <c r="Q154" s="3"/>
      <c r="R154" s="4"/>
    </row>
    <row r="155" ht="17.25" customHeight="1">
      <c r="Q155" s="3"/>
      <c r="R155" s="4"/>
    </row>
    <row r="156" ht="17.25" customHeight="1">
      <c r="Q156" s="3"/>
      <c r="R156" s="4"/>
    </row>
    <row r="157" ht="17.25" customHeight="1">
      <c r="Q157" s="3"/>
      <c r="R157" s="4"/>
    </row>
    <row r="158" ht="17.25" customHeight="1">
      <c r="Q158" s="3"/>
      <c r="R158" s="4"/>
    </row>
    <row r="159" ht="17.25" customHeight="1">
      <c r="Q159" s="3"/>
      <c r="R159" s="4"/>
    </row>
    <row r="160" ht="17.25" customHeight="1">
      <c r="Q160" s="3"/>
      <c r="R160" s="4"/>
    </row>
    <row r="161" ht="17.25" customHeight="1">
      <c r="Q161" s="3"/>
      <c r="R161" s="4"/>
    </row>
    <row r="162" ht="17.25" customHeight="1">
      <c r="Q162" s="3"/>
      <c r="R162" s="4"/>
    </row>
    <row r="163" ht="17.25" customHeight="1">
      <c r="Q163" s="3"/>
      <c r="R163" s="4"/>
    </row>
    <row r="164" ht="17.25" customHeight="1">
      <c r="Q164" s="3"/>
      <c r="R164" s="4"/>
    </row>
    <row r="165" ht="17.25" customHeight="1">
      <c r="Q165" s="3"/>
      <c r="R165" s="4"/>
    </row>
    <row r="166" ht="17.25" customHeight="1">
      <c r="Q166" s="3"/>
      <c r="R166" s="4"/>
    </row>
    <row r="167" ht="17.25" customHeight="1">
      <c r="Q167" s="3"/>
      <c r="R167" s="4"/>
    </row>
    <row r="168" ht="17.25" customHeight="1">
      <c r="Q168" s="3"/>
      <c r="R168" s="4"/>
    </row>
    <row r="169" ht="17.25" customHeight="1">
      <c r="Q169" s="3"/>
      <c r="R169" s="4"/>
    </row>
    <row r="170" ht="17.25" customHeight="1">
      <c r="Q170" s="3"/>
      <c r="R170" s="4"/>
    </row>
    <row r="171" ht="17.25" customHeight="1">
      <c r="Q171" s="3"/>
      <c r="R171" s="4"/>
    </row>
    <row r="172" ht="17.25" customHeight="1">
      <c r="Q172" s="3"/>
      <c r="R172" s="4"/>
    </row>
    <row r="173" ht="17.25" customHeight="1">
      <c r="Q173" s="3"/>
      <c r="R173" s="4"/>
    </row>
    <row r="174" ht="17.25" customHeight="1">
      <c r="Q174" s="3"/>
      <c r="R174" s="4"/>
    </row>
    <row r="175" ht="17.25" customHeight="1">
      <c r="Q175" s="3"/>
      <c r="R175" s="4"/>
    </row>
    <row r="176" ht="17.25" customHeight="1">
      <c r="Q176" s="3"/>
      <c r="R176" s="4"/>
    </row>
    <row r="177" ht="17.25" customHeight="1">
      <c r="Q177" s="3"/>
      <c r="R177" s="4"/>
    </row>
    <row r="178" ht="17.25" customHeight="1">
      <c r="Q178" s="3"/>
      <c r="R178" s="4"/>
    </row>
    <row r="179" ht="17.25" customHeight="1">
      <c r="Q179" s="3"/>
      <c r="R179" s="4"/>
    </row>
    <row r="180" ht="17.25" customHeight="1">
      <c r="Q180" s="3"/>
      <c r="R180" s="4"/>
    </row>
    <row r="181" ht="17.25" customHeight="1">
      <c r="Q181" s="3"/>
      <c r="R181" s="4"/>
    </row>
    <row r="182" ht="17.25" customHeight="1">
      <c r="Q182" s="3"/>
      <c r="R182" s="4"/>
    </row>
    <row r="183" ht="17.25" customHeight="1">
      <c r="Q183" s="3"/>
      <c r="R183" s="4"/>
    </row>
    <row r="184" ht="17.25" customHeight="1">
      <c r="Q184" s="3"/>
      <c r="R184" s="4"/>
    </row>
    <row r="185" ht="17.25" customHeight="1">
      <c r="Q185" s="3"/>
      <c r="R185" s="4"/>
    </row>
    <row r="186" ht="17.25" customHeight="1">
      <c r="Q186" s="3"/>
      <c r="R186" s="4"/>
    </row>
    <row r="187" ht="17.25" customHeight="1">
      <c r="Q187" s="3"/>
      <c r="R187" s="4"/>
    </row>
    <row r="188" ht="17.25" customHeight="1">
      <c r="Q188" s="3"/>
      <c r="R188" s="4"/>
    </row>
    <row r="189" ht="17.25" customHeight="1">
      <c r="Q189" s="3"/>
      <c r="R189" s="4"/>
    </row>
    <row r="190" ht="17.25" customHeight="1">
      <c r="Q190" s="3"/>
      <c r="R190" s="4"/>
    </row>
    <row r="191" ht="17.25" customHeight="1">
      <c r="Q191" s="3"/>
      <c r="R191" s="4"/>
    </row>
    <row r="192" ht="17.25" customHeight="1">
      <c r="Q192" s="3"/>
      <c r="R192" s="4"/>
    </row>
    <row r="193" ht="17.25" customHeight="1">
      <c r="Q193" s="3"/>
      <c r="R193" s="4"/>
    </row>
    <row r="194" ht="17.25" customHeight="1">
      <c r="Q194" s="3"/>
      <c r="R194" s="4"/>
    </row>
    <row r="195" ht="17.25" customHeight="1">
      <c r="Q195" s="3"/>
      <c r="R195" s="4"/>
    </row>
    <row r="196" ht="17.25" customHeight="1">
      <c r="Q196" s="3"/>
      <c r="R196" s="4"/>
    </row>
    <row r="197" ht="17.25" customHeight="1">
      <c r="Q197" s="3"/>
      <c r="R197" s="4"/>
    </row>
    <row r="198" ht="17.25" customHeight="1">
      <c r="Q198" s="3"/>
      <c r="R198" s="4"/>
    </row>
    <row r="199" ht="17.25" customHeight="1">
      <c r="Q199" s="3"/>
      <c r="R199" s="4"/>
    </row>
    <row r="200" ht="17.25" customHeight="1">
      <c r="Q200" s="3"/>
      <c r="R200" s="4"/>
    </row>
    <row r="201" ht="17.25" customHeight="1">
      <c r="Q201" s="3"/>
      <c r="R201" s="4"/>
    </row>
    <row r="202" ht="17.25" customHeight="1">
      <c r="Q202" s="3"/>
      <c r="R202" s="4"/>
    </row>
    <row r="203" ht="17.25" customHeight="1">
      <c r="Q203" s="3"/>
      <c r="R203" s="4"/>
    </row>
    <row r="204" ht="17.25" customHeight="1">
      <c r="Q204" s="3"/>
      <c r="R204" s="4"/>
    </row>
    <row r="205" ht="17.25" customHeight="1">
      <c r="Q205" s="3"/>
      <c r="R205" s="4"/>
    </row>
    <row r="206" ht="17.25" customHeight="1">
      <c r="Q206" s="3"/>
      <c r="R206" s="4"/>
    </row>
    <row r="207" ht="17.25" customHeight="1">
      <c r="Q207" s="3"/>
      <c r="R207" s="4"/>
    </row>
    <row r="208" ht="17.25" customHeight="1">
      <c r="Q208" s="3"/>
      <c r="R208" s="4"/>
    </row>
    <row r="209" ht="17.25" customHeight="1">
      <c r="Q209" s="3"/>
      <c r="R209" s="4"/>
    </row>
    <row r="210" ht="17.25" customHeight="1">
      <c r="Q210" s="3"/>
      <c r="R210" s="4"/>
    </row>
    <row r="211" ht="17.25" customHeight="1">
      <c r="Q211" s="3"/>
      <c r="R211" s="4"/>
    </row>
    <row r="212" ht="17.25" customHeight="1">
      <c r="Q212" s="3"/>
      <c r="R212" s="4"/>
    </row>
    <row r="213" ht="17.25" customHeight="1">
      <c r="Q213" s="3"/>
      <c r="R213" s="4"/>
    </row>
    <row r="214" ht="17.25" customHeight="1">
      <c r="Q214" s="3"/>
      <c r="R214" s="4"/>
    </row>
    <row r="215" ht="17.25" customHeight="1">
      <c r="Q215" s="3"/>
      <c r="R215" s="4"/>
    </row>
    <row r="216" ht="17.25" customHeight="1">
      <c r="Q216" s="3"/>
      <c r="R216" s="4"/>
    </row>
    <row r="217" ht="17.25" customHeight="1">
      <c r="Q217" s="3"/>
      <c r="R217" s="4"/>
    </row>
    <row r="218" ht="17.25" customHeight="1">
      <c r="Q218" s="3"/>
      <c r="R218" s="4"/>
    </row>
    <row r="219" ht="17.25" customHeight="1">
      <c r="Q219" s="3"/>
      <c r="R219" s="4"/>
    </row>
    <row r="220" ht="17.25" customHeight="1">
      <c r="Q220" s="3"/>
      <c r="R220" s="4"/>
    </row>
    <row r="221" ht="17.25" customHeight="1">
      <c r="Q221" s="3"/>
      <c r="R221" s="4"/>
    </row>
    <row r="222" ht="17.25" customHeight="1">
      <c r="Q222" s="3"/>
      <c r="R222" s="4"/>
    </row>
    <row r="223" ht="17.25" customHeight="1">
      <c r="Q223" s="3"/>
      <c r="R223" s="4"/>
    </row>
    <row r="224" ht="17.25" customHeight="1">
      <c r="Q224" s="3"/>
      <c r="R224" s="4"/>
    </row>
    <row r="225" ht="17.25" customHeight="1">
      <c r="Q225" s="3"/>
      <c r="R225" s="4"/>
    </row>
    <row r="226" ht="17.25" customHeight="1">
      <c r="Q226" s="3"/>
      <c r="R226" s="4"/>
    </row>
    <row r="227" ht="17.25" customHeight="1">
      <c r="Q227" s="3"/>
      <c r="R227" s="4"/>
    </row>
    <row r="228" ht="17.25" customHeight="1">
      <c r="Q228" s="3"/>
      <c r="R228" s="4"/>
    </row>
    <row r="229" ht="17.25" customHeight="1">
      <c r="Q229" s="3"/>
      <c r="R229" s="4"/>
    </row>
    <row r="230" ht="17.25" customHeight="1">
      <c r="Q230" s="3"/>
      <c r="R230" s="4"/>
    </row>
    <row r="231" ht="17.25" customHeight="1">
      <c r="Q231" s="3"/>
      <c r="R231" s="4"/>
    </row>
    <row r="232" ht="17.25" customHeight="1">
      <c r="Q232" s="3"/>
      <c r="R232" s="4"/>
    </row>
    <row r="233" ht="17.25" customHeight="1">
      <c r="Q233" s="3"/>
      <c r="R233" s="4"/>
    </row>
    <row r="234" ht="17.25" customHeight="1">
      <c r="Q234" s="3"/>
      <c r="R234" s="4"/>
    </row>
    <row r="235" ht="17.25" customHeight="1">
      <c r="Q235" s="3"/>
      <c r="R235" s="4"/>
    </row>
    <row r="236" ht="17.25" customHeight="1">
      <c r="Q236" s="3"/>
      <c r="R236" s="4"/>
    </row>
    <row r="237" ht="17.25" customHeight="1">
      <c r="Q237" s="3"/>
      <c r="R237" s="4"/>
    </row>
    <row r="238" ht="17.25" customHeight="1">
      <c r="Q238" s="3"/>
      <c r="R238" s="4"/>
    </row>
    <row r="239" ht="17.25" customHeight="1">
      <c r="Q239" s="3"/>
      <c r="R239" s="4"/>
    </row>
    <row r="240" ht="17.25" customHeight="1">
      <c r="Q240" s="3"/>
      <c r="R240" s="4"/>
    </row>
    <row r="241" ht="17.25" customHeight="1">
      <c r="Q241" s="3"/>
      <c r="R241" s="4"/>
    </row>
    <row r="242" ht="17.25" customHeight="1">
      <c r="Q242" s="3"/>
      <c r="R242" s="4"/>
    </row>
    <row r="243" ht="17.25" customHeight="1">
      <c r="Q243" s="3"/>
      <c r="R243" s="4"/>
    </row>
    <row r="244" ht="17.25" customHeight="1">
      <c r="Q244" s="3"/>
      <c r="R244" s="4"/>
    </row>
    <row r="245" ht="17.25" customHeight="1">
      <c r="Q245" s="3"/>
      <c r="R245" s="4"/>
    </row>
    <row r="246" ht="17.25" customHeight="1">
      <c r="Q246" s="3"/>
      <c r="R246" s="4"/>
    </row>
    <row r="247" ht="17.25" customHeight="1">
      <c r="Q247" s="3"/>
      <c r="R247" s="4"/>
    </row>
    <row r="248" ht="17.25" customHeight="1">
      <c r="Q248" s="3"/>
      <c r="R248" s="4"/>
    </row>
    <row r="249" ht="17.25" customHeight="1">
      <c r="Q249" s="3"/>
      <c r="R249" s="4"/>
    </row>
    <row r="250" ht="17.25" customHeight="1">
      <c r="Q250" s="3"/>
      <c r="R250" s="4"/>
    </row>
    <row r="251" ht="17.25" customHeight="1">
      <c r="Q251" s="3"/>
      <c r="R251" s="4"/>
    </row>
    <row r="252" ht="17.25" customHeight="1">
      <c r="Q252" s="3"/>
      <c r="R252" s="4"/>
    </row>
    <row r="253" ht="17.25" customHeight="1">
      <c r="Q253" s="3"/>
      <c r="R253" s="4"/>
    </row>
    <row r="254" ht="17.25" customHeight="1">
      <c r="Q254" s="3"/>
      <c r="R254" s="4"/>
    </row>
    <row r="255" ht="17.25" customHeight="1">
      <c r="Q255" s="3"/>
      <c r="R255" s="4"/>
    </row>
    <row r="256" ht="17.25" customHeight="1">
      <c r="Q256" s="3"/>
      <c r="R256" s="4"/>
    </row>
    <row r="257" ht="17.25" customHeight="1">
      <c r="Q257" s="3"/>
      <c r="R257" s="4"/>
    </row>
    <row r="258" ht="17.25" customHeight="1">
      <c r="Q258" s="3"/>
      <c r="R258" s="4"/>
    </row>
    <row r="259" ht="17.25" customHeight="1">
      <c r="Q259" s="3"/>
      <c r="R259" s="4"/>
    </row>
    <row r="260" ht="17.25" customHeight="1">
      <c r="Q260" s="3"/>
      <c r="R260" s="4"/>
    </row>
    <row r="261" ht="17.25" customHeight="1">
      <c r="Q261" s="3"/>
      <c r="R261" s="4"/>
    </row>
    <row r="262" ht="17.25" customHeight="1">
      <c r="Q262" s="3"/>
      <c r="R262" s="4"/>
    </row>
    <row r="263" ht="17.25" customHeight="1">
      <c r="Q263" s="3"/>
      <c r="R263" s="4"/>
    </row>
    <row r="264" ht="17.25" customHeight="1">
      <c r="Q264" s="3"/>
      <c r="R264" s="4"/>
    </row>
    <row r="265" ht="17.25" customHeight="1">
      <c r="Q265" s="3"/>
      <c r="R265" s="4"/>
    </row>
    <row r="266" ht="17.25" customHeight="1">
      <c r="Q266" s="3"/>
      <c r="R266" s="4"/>
    </row>
    <row r="267" ht="17.25" customHeight="1">
      <c r="Q267" s="3"/>
      <c r="R267" s="4"/>
    </row>
    <row r="268" ht="17.25" customHeight="1">
      <c r="Q268" s="3"/>
      <c r="R268" s="4"/>
    </row>
    <row r="269" ht="17.25" customHeight="1">
      <c r="Q269" s="3"/>
      <c r="R269" s="4"/>
    </row>
    <row r="270" ht="17.25" customHeight="1">
      <c r="Q270" s="3"/>
      <c r="R270" s="4"/>
    </row>
    <row r="271" ht="17.25" customHeight="1">
      <c r="Q271" s="3"/>
      <c r="R271" s="4"/>
    </row>
    <row r="272" ht="17.25" customHeight="1">
      <c r="Q272" s="3"/>
      <c r="R272" s="4"/>
    </row>
    <row r="273" ht="17.25" customHeight="1">
      <c r="Q273" s="3"/>
      <c r="R273" s="4"/>
    </row>
    <row r="274" ht="17.25" customHeight="1">
      <c r="Q274" s="3"/>
      <c r="R274" s="4"/>
    </row>
    <row r="275" ht="17.25" customHeight="1">
      <c r="Q275" s="3"/>
      <c r="R275" s="4"/>
    </row>
    <row r="276" ht="17.25" customHeight="1">
      <c r="Q276" s="3"/>
      <c r="R276" s="4"/>
    </row>
    <row r="277" ht="17.25" customHeight="1">
      <c r="Q277" s="3"/>
      <c r="R277" s="4"/>
    </row>
    <row r="278" ht="17.25" customHeight="1">
      <c r="Q278" s="3"/>
      <c r="R278" s="4"/>
    </row>
    <row r="279" ht="17.25" customHeight="1">
      <c r="Q279" s="3"/>
      <c r="R279" s="4"/>
    </row>
    <row r="280" ht="17.25" customHeight="1">
      <c r="Q280" s="3"/>
      <c r="R280" s="4"/>
    </row>
    <row r="281" ht="17.25" customHeight="1">
      <c r="Q281" s="3"/>
      <c r="R281" s="4"/>
    </row>
    <row r="282" ht="17.25" customHeight="1">
      <c r="Q282" s="3"/>
      <c r="R282" s="4"/>
    </row>
    <row r="283" ht="17.25" customHeight="1">
      <c r="Q283" s="3"/>
      <c r="R283" s="4"/>
    </row>
    <row r="284" ht="17.25" customHeight="1">
      <c r="Q284" s="3"/>
      <c r="R284" s="4"/>
    </row>
    <row r="285" ht="17.25" customHeight="1">
      <c r="Q285" s="3"/>
      <c r="R285" s="4"/>
    </row>
    <row r="286" ht="17.25" customHeight="1">
      <c r="Q286" s="3"/>
      <c r="R286" s="4"/>
    </row>
    <row r="287" ht="17.25" customHeight="1">
      <c r="Q287" s="3"/>
      <c r="R287" s="4"/>
    </row>
    <row r="288" ht="17.25" customHeight="1">
      <c r="Q288" s="3"/>
      <c r="R288" s="4"/>
    </row>
    <row r="289" ht="17.25" customHeight="1">
      <c r="Q289" s="3"/>
      <c r="R289" s="4"/>
    </row>
    <row r="290" ht="17.25" customHeight="1">
      <c r="Q290" s="3"/>
      <c r="R290" s="4"/>
    </row>
    <row r="291" ht="17.25" customHeight="1">
      <c r="Q291" s="3"/>
      <c r="R291" s="4"/>
    </row>
    <row r="292" ht="17.25" customHeight="1">
      <c r="Q292" s="3"/>
      <c r="R292" s="4"/>
    </row>
    <row r="293" ht="17.25" customHeight="1">
      <c r="Q293" s="3"/>
      <c r="R293" s="4"/>
    </row>
    <row r="294" ht="17.25" customHeight="1">
      <c r="Q294" s="3"/>
      <c r="R294" s="4"/>
    </row>
    <row r="295" ht="17.25" customHeight="1">
      <c r="Q295" s="3"/>
      <c r="R295" s="4"/>
    </row>
    <row r="296" ht="17.25" customHeight="1">
      <c r="Q296" s="3"/>
      <c r="R296" s="4"/>
    </row>
    <row r="297" ht="17.25" customHeight="1">
      <c r="Q297" s="3"/>
      <c r="R297" s="4"/>
    </row>
    <row r="298" ht="17.25" customHeight="1">
      <c r="Q298" s="3"/>
      <c r="R298" s="4"/>
    </row>
    <row r="299" ht="17.25" customHeight="1">
      <c r="Q299" s="3"/>
      <c r="R299" s="4"/>
    </row>
    <row r="300" ht="17.25" customHeight="1">
      <c r="Q300" s="3"/>
      <c r="R300" s="4"/>
    </row>
    <row r="301" ht="17.25" customHeight="1">
      <c r="Q301" s="3"/>
      <c r="R301" s="4"/>
    </row>
    <row r="302" ht="17.25" customHeight="1">
      <c r="Q302" s="3"/>
      <c r="R302" s="4"/>
    </row>
    <row r="303" ht="17.25" customHeight="1">
      <c r="Q303" s="3"/>
      <c r="R303" s="4"/>
    </row>
    <row r="304" ht="17.25" customHeight="1">
      <c r="Q304" s="3"/>
      <c r="R304" s="4"/>
    </row>
    <row r="305" ht="17.25" customHeight="1">
      <c r="Q305" s="3"/>
      <c r="R305" s="4"/>
    </row>
    <row r="306" ht="17.25" customHeight="1">
      <c r="Q306" s="3"/>
      <c r="R306" s="4"/>
    </row>
    <row r="307" ht="17.25" customHeight="1">
      <c r="Q307" s="3"/>
      <c r="R307" s="4"/>
    </row>
    <row r="308" ht="17.25" customHeight="1">
      <c r="Q308" s="3"/>
      <c r="R308" s="4"/>
    </row>
    <row r="309" ht="17.25" customHeight="1">
      <c r="Q309" s="3"/>
      <c r="R309" s="4"/>
    </row>
    <row r="310" ht="17.25" customHeight="1">
      <c r="Q310" s="3"/>
      <c r="R310" s="4"/>
    </row>
    <row r="311" ht="17.25" customHeight="1">
      <c r="Q311" s="3"/>
      <c r="R311" s="4"/>
    </row>
    <row r="312" ht="17.25" customHeight="1">
      <c r="Q312" s="3"/>
      <c r="R312" s="4"/>
    </row>
    <row r="313" ht="17.25" customHeight="1">
      <c r="Q313" s="3"/>
      <c r="R313" s="4"/>
    </row>
    <row r="314" ht="17.25" customHeight="1">
      <c r="Q314" s="3"/>
      <c r="R314" s="4"/>
    </row>
    <row r="315" ht="17.25" customHeight="1">
      <c r="Q315" s="3"/>
      <c r="R315" s="4"/>
    </row>
    <row r="316" ht="17.25" customHeight="1">
      <c r="Q316" s="3"/>
      <c r="R316" s="4"/>
    </row>
    <row r="317" ht="17.25" customHeight="1">
      <c r="Q317" s="3"/>
      <c r="R317" s="4"/>
    </row>
    <row r="318" ht="17.25" customHeight="1">
      <c r="Q318" s="3"/>
      <c r="R318" s="4"/>
    </row>
    <row r="319" ht="17.25" customHeight="1">
      <c r="Q319" s="3"/>
      <c r="R319" s="4"/>
    </row>
    <row r="320" ht="17.25" customHeight="1">
      <c r="Q320" s="3"/>
      <c r="R320" s="4"/>
    </row>
    <row r="321" ht="17.25" customHeight="1">
      <c r="Q321" s="3"/>
      <c r="R321" s="4"/>
    </row>
    <row r="322" ht="17.25" customHeight="1">
      <c r="Q322" s="3"/>
      <c r="R322" s="4"/>
    </row>
    <row r="323" ht="17.25" customHeight="1">
      <c r="Q323" s="3"/>
      <c r="R323" s="4"/>
    </row>
    <row r="324" ht="17.25" customHeight="1">
      <c r="Q324" s="3"/>
      <c r="R324" s="4"/>
    </row>
    <row r="325" ht="17.25" customHeight="1">
      <c r="Q325" s="3"/>
      <c r="R325" s="4"/>
    </row>
    <row r="326" ht="17.25" customHeight="1">
      <c r="Q326" s="3"/>
      <c r="R326" s="4"/>
    </row>
    <row r="327" ht="17.25" customHeight="1">
      <c r="Q327" s="3"/>
      <c r="R327" s="4"/>
    </row>
    <row r="328" ht="17.25" customHeight="1">
      <c r="Q328" s="3"/>
      <c r="R328" s="4"/>
    </row>
    <row r="329" ht="17.25" customHeight="1">
      <c r="Q329" s="3"/>
      <c r="R329" s="4"/>
    </row>
    <row r="330" ht="17.25" customHeight="1">
      <c r="Q330" s="3"/>
      <c r="R330" s="4"/>
    </row>
    <row r="331" ht="17.25" customHeight="1">
      <c r="Q331" s="3"/>
      <c r="R331" s="4"/>
    </row>
    <row r="332" ht="17.25" customHeight="1">
      <c r="Q332" s="3"/>
      <c r="R332" s="4"/>
    </row>
    <row r="333" ht="17.25" customHeight="1">
      <c r="Q333" s="3"/>
      <c r="R333" s="4"/>
    </row>
    <row r="334" ht="17.25" customHeight="1">
      <c r="Q334" s="3"/>
      <c r="R334" s="4"/>
    </row>
    <row r="335" ht="17.25" customHeight="1">
      <c r="Q335" s="3"/>
      <c r="R335" s="4"/>
    </row>
    <row r="336" ht="17.25" customHeight="1">
      <c r="Q336" s="3"/>
      <c r="R336" s="4"/>
    </row>
    <row r="337" ht="17.25" customHeight="1">
      <c r="Q337" s="3"/>
      <c r="R337" s="4"/>
    </row>
    <row r="338" ht="17.25" customHeight="1">
      <c r="Q338" s="3"/>
      <c r="R338" s="4"/>
    </row>
    <row r="339" ht="17.25" customHeight="1">
      <c r="Q339" s="3"/>
      <c r="R339" s="4"/>
    </row>
    <row r="340" ht="17.25" customHeight="1">
      <c r="Q340" s="3"/>
      <c r="R340" s="4"/>
    </row>
    <row r="341" ht="17.25" customHeight="1">
      <c r="Q341" s="3"/>
      <c r="R341" s="4"/>
    </row>
    <row r="342" ht="17.25" customHeight="1">
      <c r="Q342" s="3"/>
      <c r="R342" s="4"/>
    </row>
    <row r="343" ht="17.25" customHeight="1">
      <c r="Q343" s="3"/>
      <c r="R343" s="4"/>
    </row>
    <row r="344" ht="17.25" customHeight="1">
      <c r="Q344" s="3"/>
      <c r="R344" s="4"/>
    </row>
    <row r="345" ht="17.25" customHeight="1">
      <c r="Q345" s="3"/>
      <c r="R345" s="4"/>
    </row>
    <row r="346" ht="17.25" customHeight="1">
      <c r="Q346" s="3"/>
      <c r="R346" s="4"/>
    </row>
    <row r="347" ht="17.25" customHeight="1">
      <c r="Q347" s="3"/>
      <c r="R347" s="4"/>
    </row>
    <row r="348" ht="17.25" customHeight="1">
      <c r="Q348" s="3"/>
      <c r="R348" s="4"/>
    </row>
    <row r="349" ht="17.25" customHeight="1">
      <c r="Q349" s="3"/>
      <c r="R349" s="4"/>
    </row>
    <row r="350" ht="17.25" customHeight="1">
      <c r="Q350" s="3"/>
      <c r="R350" s="4"/>
    </row>
    <row r="351" ht="17.25" customHeight="1">
      <c r="Q351" s="3"/>
      <c r="R351" s="4"/>
    </row>
    <row r="352" ht="17.25" customHeight="1">
      <c r="Q352" s="3"/>
      <c r="R352" s="4"/>
    </row>
    <row r="353" ht="17.25" customHeight="1">
      <c r="Q353" s="3"/>
      <c r="R353" s="4"/>
    </row>
    <row r="354" ht="17.25" customHeight="1">
      <c r="Q354" s="3"/>
      <c r="R354" s="4"/>
    </row>
    <row r="355" ht="17.25" customHeight="1">
      <c r="Q355" s="3"/>
      <c r="R355" s="4"/>
    </row>
    <row r="356" ht="17.25" customHeight="1">
      <c r="Q356" s="3"/>
      <c r="R356" s="4"/>
    </row>
    <row r="357" ht="17.25" customHeight="1">
      <c r="Q357" s="3"/>
      <c r="R357" s="4"/>
    </row>
    <row r="358" ht="17.25" customHeight="1">
      <c r="Q358" s="3"/>
      <c r="R358" s="4"/>
    </row>
    <row r="359" ht="17.25" customHeight="1">
      <c r="Q359" s="3"/>
      <c r="R359" s="4"/>
    </row>
    <row r="360" ht="17.25" customHeight="1">
      <c r="Q360" s="3"/>
      <c r="R360" s="4"/>
    </row>
    <row r="361" ht="17.25" customHeight="1">
      <c r="Q361" s="3"/>
      <c r="R361" s="4"/>
    </row>
    <row r="362" ht="17.25" customHeight="1">
      <c r="Q362" s="3"/>
      <c r="R362" s="4"/>
    </row>
    <row r="363" ht="17.25" customHeight="1">
      <c r="Q363" s="3"/>
      <c r="R363" s="4"/>
    </row>
    <row r="364" ht="17.25" customHeight="1">
      <c r="Q364" s="3"/>
      <c r="R364" s="4"/>
    </row>
    <row r="365" ht="17.25" customHeight="1">
      <c r="Q365" s="3"/>
      <c r="R365" s="4"/>
    </row>
    <row r="366" ht="17.25" customHeight="1">
      <c r="Q366" s="3"/>
      <c r="R366" s="4"/>
    </row>
    <row r="367" ht="17.25" customHeight="1">
      <c r="Q367" s="3"/>
      <c r="R367" s="4"/>
    </row>
    <row r="368" ht="17.25" customHeight="1">
      <c r="Q368" s="3"/>
      <c r="R368" s="4"/>
    </row>
    <row r="369" ht="17.25" customHeight="1">
      <c r="Q369" s="3"/>
      <c r="R369" s="4"/>
    </row>
    <row r="370" ht="17.25" customHeight="1">
      <c r="Q370" s="3"/>
      <c r="R370" s="4"/>
    </row>
    <row r="371" ht="17.25" customHeight="1">
      <c r="Q371" s="3"/>
      <c r="R371" s="4"/>
    </row>
    <row r="372" ht="17.25" customHeight="1">
      <c r="Q372" s="3"/>
      <c r="R372" s="4"/>
    </row>
    <row r="373" ht="17.25" customHeight="1">
      <c r="Q373" s="3"/>
      <c r="R373" s="4"/>
    </row>
    <row r="374" ht="17.25" customHeight="1">
      <c r="Q374" s="3"/>
      <c r="R374" s="4"/>
    </row>
    <row r="375" ht="17.25" customHeight="1">
      <c r="Q375" s="3"/>
      <c r="R375" s="4"/>
    </row>
    <row r="376" ht="17.25" customHeight="1">
      <c r="Q376" s="3"/>
      <c r="R376" s="4"/>
    </row>
    <row r="377" ht="17.25" customHeight="1">
      <c r="Q377" s="3"/>
      <c r="R377" s="4"/>
    </row>
    <row r="378" ht="17.25" customHeight="1">
      <c r="Q378" s="3"/>
      <c r="R378" s="4"/>
    </row>
    <row r="379" ht="17.25" customHeight="1">
      <c r="Q379" s="3"/>
      <c r="R379" s="4"/>
    </row>
    <row r="380" ht="17.25" customHeight="1">
      <c r="Q380" s="3"/>
      <c r="R380" s="4"/>
    </row>
    <row r="381" ht="17.25" customHeight="1">
      <c r="Q381" s="3"/>
      <c r="R381" s="4"/>
    </row>
    <row r="382" ht="17.25" customHeight="1">
      <c r="Q382" s="3"/>
      <c r="R382" s="4"/>
    </row>
    <row r="383" ht="17.25" customHeight="1">
      <c r="Q383" s="3"/>
      <c r="R383" s="4"/>
    </row>
    <row r="384" ht="17.25" customHeight="1">
      <c r="Q384" s="3"/>
      <c r="R384" s="4"/>
    </row>
    <row r="385" ht="17.25" customHeight="1">
      <c r="Q385" s="3"/>
      <c r="R385" s="4"/>
    </row>
    <row r="386" ht="17.25" customHeight="1">
      <c r="Q386" s="3"/>
      <c r="R386" s="4"/>
    </row>
    <row r="387" ht="17.25" customHeight="1">
      <c r="Q387" s="3"/>
      <c r="R387" s="4"/>
    </row>
    <row r="388" ht="17.25" customHeight="1">
      <c r="Q388" s="3"/>
      <c r="R388" s="4"/>
    </row>
    <row r="389" ht="17.25" customHeight="1">
      <c r="Q389" s="3"/>
      <c r="R389" s="4"/>
    </row>
    <row r="390" ht="17.25" customHeight="1">
      <c r="Q390" s="3"/>
      <c r="R390" s="4"/>
    </row>
    <row r="391" ht="17.25" customHeight="1">
      <c r="Q391" s="3"/>
      <c r="R391" s="4"/>
    </row>
    <row r="392" ht="17.25" customHeight="1">
      <c r="Q392" s="3"/>
      <c r="R392" s="4"/>
    </row>
    <row r="393" ht="17.25" customHeight="1">
      <c r="Q393" s="3"/>
      <c r="R393" s="4"/>
    </row>
    <row r="394" ht="17.25" customHeight="1">
      <c r="Q394" s="3"/>
      <c r="R394" s="4"/>
    </row>
    <row r="395" ht="17.25" customHeight="1">
      <c r="Q395" s="3"/>
      <c r="R395" s="4"/>
    </row>
    <row r="396" ht="17.25" customHeight="1">
      <c r="Q396" s="3"/>
      <c r="R396" s="4"/>
    </row>
    <row r="397" ht="17.25" customHeight="1">
      <c r="Q397" s="3"/>
      <c r="R397" s="4"/>
    </row>
    <row r="398" ht="17.25" customHeight="1">
      <c r="Q398" s="3"/>
      <c r="R398" s="4"/>
    </row>
    <row r="399" ht="17.25" customHeight="1">
      <c r="Q399" s="3"/>
      <c r="R399" s="4"/>
    </row>
    <row r="400" ht="17.25" customHeight="1">
      <c r="Q400" s="3"/>
      <c r="R400" s="4"/>
    </row>
    <row r="401" ht="17.25" customHeight="1">
      <c r="Q401" s="3"/>
      <c r="R401" s="4"/>
    </row>
    <row r="402" ht="17.25" customHeight="1">
      <c r="Q402" s="3"/>
      <c r="R402" s="4"/>
    </row>
    <row r="403" ht="17.25" customHeight="1">
      <c r="Q403" s="3"/>
      <c r="R403" s="4"/>
    </row>
    <row r="404" ht="17.25" customHeight="1">
      <c r="Q404" s="3"/>
      <c r="R404" s="4"/>
    </row>
    <row r="405" ht="17.25" customHeight="1">
      <c r="Q405" s="3"/>
      <c r="R405" s="4"/>
    </row>
    <row r="406" ht="17.25" customHeight="1">
      <c r="Q406" s="3"/>
      <c r="R406" s="4"/>
    </row>
    <row r="407" ht="17.25" customHeight="1">
      <c r="Q407" s="3"/>
      <c r="R407" s="4"/>
    </row>
    <row r="408" ht="17.25" customHeight="1">
      <c r="Q408" s="3"/>
      <c r="R408" s="4"/>
    </row>
    <row r="409" ht="17.25" customHeight="1">
      <c r="Q409" s="3"/>
      <c r="R409" s="4"/>
    </row>
    <row r="410" ht="17.25" customHeight="1">
      <c r="Q410" s="3"/>
      <c r="R410" s="4"/>
    </row>
    <row r="411" ht="17.25" customHeight="1">
      <c r="Q411" s="3"/>
      <c r="R411" s="4"/>
    </row>
    <row r="412" ht="17.25" customHeight="1">
      <c r="Q412" s="3"/>
      <c r="R412" s="4"/>
    </row>
    <row r="413" ht="17.25" customHeight="1">
      <c r="Q413" s="3"/>
      <c r="R413" s="4"/>
    </row>
    <row r="414" ht="17.25" customHeight="1">
      <c r="Q414" s="3"/>
      <c r="R414" s="4"/>
    </row>
    <row r="415" ht="17.25" customHeight="1">
      <c r="Q415" s="3"/>
      <c r="R415" s="4"/>
    </row>
    <row r="416" ht="17.25" customHeight="1">
      <c r="Q416" s="3"/>
      <c r="R416" s="4"/>
    </row>
    <row r="417" ht="17.25" customHeight="1">
      <c r="Q417" s="3"/>
      <c r="R417" s="4"/>
    </row>
    <row r="418" ht="17.25" customHeight="1">
      <c r="Q418" s="3"/>
      <c r="R418" s="4"/>
    </row>
    <row r="419" ht="17.25" customHeight="1">
      <c r="Q419" s="3"/>
      <c r="R419" s="4"/>
    </row>
    <row r="420" ht="17.25" customHeight="1">
      <c r="Q420" s="3"/>
      <c r="R420" s="4"/>
    </row>
    <row r="421" ht="17.25" customHeight="1">
      <c r="Q421" s="3"/>
      <c r="R421" s="4"/>
    </row>
    <row r="422" ht="17.25" customHeight="1">
      <c r="Q422" s="3"/>
      <c r="R422" s="4"/>
    </row>
    <row r="423" ht="17.25" customHeight="1">
      <c r="Q423" s="3"/>
      <c r="R423" s="4"/>
    </row>
    <row r="424" ht="17.25" customHeight="1">
      <c r="Q424" s="3"/>
      <c r="R424" s="4"/>
    </row>
    <row r="425" ht="17.25" customHeight="1">
      <c r="Q425" s="3"/>
      <c r="R425" s="4"/>
    </row>
    <row r="426" ht="17.25" customHeight="1">
      <c r="Q426" s="3"/>
      <c r="R426" s="4"/>
    </row>
    <row r="427" ht="17.25" customHeight="1">
      <c r="Q427" s="3"/>
      <c r="R427" s="4"/>
    </row>
    <row r="428" ht="17.25" customHeight="1">
      <c r="Q428" s="3"/>
      <c r="R428" s="4"/>
    </row>
    <row r="429" ht="17.25" customHeight="1">
      <c r="Q429" s="3"/>
      <c r="R429" s="4"/>
    </row>
    <row r="430" ht="17.25" customHeight="1">
      <c r="Q430" s="3"/>
      <c r="R430" s="4"/>
    </row>
    <row r="431" ht="17.25" customHeight="1">
      <c r="Q431" s="3"/>
      <c r="R431" s="4"/>
    </row>
    <row r="432" ht="17.25" customHeight="1">
      <c r="Q432" s="3"/>
      <c r="R432" s="4"/>
    </row>
    <row r="433" ht="17.25" customHeight="1">
      <c r="Q433" s="3"/>
      <c r="R433" s="4"/>
    </row>
    <row r="434" ht="17.25" customHeight="1">
      <c r="Q434" s="3"/>
      <c r="R434" s="4"/>
    </row>
    <row r="435" ht="17.25" customHeight="1">
      <c r="Q435" s="3"/>
      <c r="R435" s="4"/>
    </row>
    <row r="436" ht="17.25" customHeight="1">
      <c r="Q436" s="3"/>
      <c r="R436" s="4"/>
    </row>
    <row r="437" ht="17.25" customHeight="1">
      <c r="Q437" s="3"/>
      <c r="R437" s="4"/>
    </row>
    <row r="438" ht="17.25" customHeight="1">
      <c r="Q438" s="3"/>
      <c r="R438" s="4"/>
    </row>
    <row r="439" ht="17.25" customHeight="1">
      <c r="Q439" s="3"/>
      <c r="R439" s="4"/>
    </row>
    <row r="440" ht="17.25" customHeight="1">
      <c r="Q440" s="3"/>
      <c r="R440" s="4"/>
    </row>
    <row r="441" ht="17.25" customHeight="1">
      <c r="Q441" s="3"/>
      <c r="R441" s="4"/>
    </row>
    <row r="442" ht="17.25" customHeight="1">
      <c r="Q442" s="3"/>
      <c r="R442" s="4"/>
    </row>
    <row r="443" ht="17.25" customHeight="1">
      <c r="Q443" s="3"/>
      <c r="R443" s="4"/>
    </row>
    <row r="444" ht="17.25" customHeight="1">
      <c r="Q444" s="3"/>
      <c r="R444" s="4"/>
    </row>
    <row r="445" ht="17.25" customHeight="1">
      <c r="Q445" s="3"/>
      <c r="R445" s="4"/>
    </row>
    <row r="446" ht="17.25" customHeight="1">
      <c r="Q446" s="3"/>
      <c r="R446" s="4"/>
    </row>
    <row r="447" ht="17.25" customHeight="1">
      <c r="Q447" s="3"/>
      <c r="R447" s="4"/>
    </row>
    <row r="448" ht="17.25" customHeight="1">
      <c r="Q448" s="3"/>
      <c r="R448" s="4"/>
    </row>
    <row r="449" ht="17.25" customHeight="1">
      <c r="Q449" s="3"/>
      <c r="R449" s="4"/>
    </row>
    <row r="450" ht="17.25" customHeight="1">
      <c r="Q450" s="3"/>
      <c r="R450" s="4"/>
    </row>
    <row r="451" ht="17.25" customHeight="1">
      <c r="Q451" s="3"/>
      <c r="R451" s="4"/>
    </row>
    <row r="452" ht="17.25" customHeight="1">
      <c r="Q452" s="3"/>
      <c r="R452" s="4"/>
    </row>
    <row r="453" ht="17.25" customHeight="1">
      <c r="Q453" s="3"/>
      <c r="R453" s="4"/>
    </row>
    <row r="454" ht="17.25" customHeight="1">
      <c r="Q454" s="3"/>
      <c r="R454" s="4"/>
    </row>
    <row r="455" ht="17.25" customHeight="1">
      <c r="Q455" s="3"/>
      <c r="R455" s="4"/>
    </row>
    <row r="456" ht="17.25" customHeight="1">
      <c r="Q456" s="3"/>
      <c r="R456" s="4"/>
    </row>
    <row r="457" ht="17.25" customHeight="1">
      <c r="Q457" s="3"/>
      <c r="R457" s="4"/>
    </row>
    <row r="458" ht="17.25" customHeight="1">
      <c r="Q458" s="3"/>
      <c r="R458" s="4"/>
    </row>
    <row r="459" ht="17.25" customHeight="1">
      <c r="Q459" s="3"/>
      <c r="R459" s="4"/>
    </row>
    <row r="460" ht="17.25" customHeight="1">
      <c r="Q460" s="3"/>
      <c r="R460" s="4"/>
    </row>
    <row r="461" ht="17.25" customHeight="1">
      <c r="Q461" s="3"/>
      <c r="R461" s="4"/>
    </row>
    <row r="462" ht="17.25" customHeight="1">
      <c r="Q462" s="3"/>
      <c r="R462" s="4"/>
    </row>
    <row r="463" ht="17.25" customHeight="1">
      <c r="Q463" s="3"/>
      <c r="R463" s="4"/>
    </row>
    <row r="464" ht="17.25" customHeight="1">
      <c r="Q464" s="3"/>
      <c r="R464" s="4"/>
    </row>
    <row r="465" ht="17.25" customHeight="1">
      <c r="Q465" s="3"/>
      <c r="R465" s="4"/>
    </row>
    <row r="466" ht="17.25" customHeight="1">
      <c r="Q466" s="3"/>
      <c r="R466" s="4"/>
    </row>
    <row r="467" ht="17.25" customHeight="1">
      <c r="Q467" s="3"/>
      <c r="R467" s="4"/>
    </row>
    <row r="468" ht="17.25" customHeight="1">
      <c r="Q468" s="3"/>
      <c r="R468" s="4"/>
    </row>
    <row r="469" ht="17.25" customHeight="1">
      <c r="Q469" s="3"/>
      <c r="R469" s="4"/>
    </row>
    <row r="470" ht="17.25" customHeight="1">
      <c r="Q470" s="3"/>
      <c r="R470" s="4"/>
    </row>
    <row r="471" ht="17.25" customHeight="1">
      <c r="Q471" s="3"/>
      <c r="R471" s="4"/>
    </row>
    <row r="472" ht="17.25" customHeight="1">
      <c r="Q472" s="3"/>
      <c r="R472" s="4"/>
    </row>
    <row r="473" ht="17.25" customHeight="1">
      <c r="Q473" s="3"/>
      <c r="R473" s="4"/>
    </row>
    <row r="474" ht="17.25" customHeight="1">
      <c r="Q474" s="3"/>
      <c r="R474" s="4"/>
    </row>
    <row r="475" ht="17.25" customHeight="1">
      <c r="Q475" s="3"/>
      <c r="R475" s="4"/>
    </row>
    <row r="476" ht="17.25" customHeight="1">
      <c r="Q476" s="3"/>
      <c r="R476" s="4"/>
    </row>
    <row r="477" ht="17.25" customHeight="1">
      <c r="Q477" s="3"/>
      <c r="R477" s="4"/>
    </row>
    <row r="478" ht="17.25" customHeight="1">
      <c r="Q478" s="3"/>
      <c r="R478" s="4"/>
    </row>
    <row r="479" ht="17.25" customHeight="1">
      <c r="Q479" s="3"/>
      <c r="R479" s="4"/>
    </row>
    <row r="480" ht="17.25" customHeight="1">
      <c r="Q480" s="3"/>
      <c r="R480" s="4"/>
    </row>
    <row r="481" ht="17.25" customHeight="1">
      <c r="Q481" s="3"/>
      <c r="R481" s="4"/>
    </row>
    <row r="482" ht="17.25" customHeight="1">
      <c r="Q482" s="3"/>
      <c r="R482" s="4"/>
    </row>
    <row r="483" ht="17.25" customHeight="1">
      <c r="Q483" s="3"/>
      <c r="R483" s="4"/>
    </row>
    <row r="484" ht="17.25" customHeight="1">
      <c r="Q484" s="3"/>
      <c r="R484" s="4"/>
    </row>
    <row r="485" ht="17.25" customHeight="1">
      <c r="Q485" s="3"/>
      <c r="R485" s="4"/>
    </row>
    <row r="486" ht="17.25" customHeight="1">
      <c r="Q486" s="3"/>
      <c r="R486" s="4"/>
    </row>
    <row r="487" ht="17.25" customHeight="1">
      <c r="Q487" s="3"/>
      <c r="R487" s="4"/>
    </row>
    <row r="488" ht="17.25" customHeight="1">
      <c r="Q488" s="3"/>
      <c r="R488" s="4"/>
    </row>
    <row r="489" ht="17.25" customHeight="1">
      <c r="Q489" s="3"/>
      <c r="R489" s="4"/>
    </row>
    <row r="490" ht="17.25" customHeight="1">
      <c r="Q490" s="3"/>
      <c r="R490" s="4"/>
    </row>
    <row r="491" ht="17.25" customHeight="1">
      <c r="Q491" s="3"/>
      <c r="R491" s="4"/>
    </row>
    <row r="492" ht="17.25" customHeight="1">
      <c r="Q492" s="3"/>
      <c r="R492" s="4"/>
    </row>
    <row r="493" ht="17.25" customHeight="1">
      <c r="Q493" s="3"/>
      <c r="R493" s="4"/>
    </row>
    <row r="494" ht="17.25" customHeight="1">
      <c r="Q494" s="3"/>
      <c r="R494" s="4"/>
    </row>
    <row r="495" ht="17.25" customHeight="1">
      <c r="Q495" s="3"/>
      <c r="R495" s="4"/>
    </row>
    <row r="496" ht="17.25" customHeight="1">
      <c r="Q496" s="3"/>
      <c r="R496" s="4"/>
    </row>
    <row r="497" ht="17.25" customHeight="1">
      <c r="Q497" s="3"/>
      <c r="R497" s="4"/>
    </row>
    <row r="498" ht="17.25" customHeight="1">
      <c r="Q498" s="3"/>
      <c r="R498" s="4"/>
    </row>
    <row r="499" ht="17.25" customHeight="1">
      <c r="Q499" s="3"/>
      <c r="R499" s="4"/>
    </row>
    <row r="500" ht="17.25" customHeight="1">
      <c r="Q500" s="3"/>
      <c r="R500" s="4"/>
    </row>
    <row r="501" ht="17.25" customHeight="1">
      <c r="Q501" s="3"/>
      <c r="R501" s="4"/>
    </row>
    <row r="502" ht="17.25" customHeight="1">
      <c r="Q502" s="3"/>
      <c r="R502" s="4"/>
    </row>
    <row r="503" ht="17.25" customHeight="1">
      <c r="Q503" s="3"/>
      <c r="R503" s="4"/>
    </row>
    <row r="504" ht="17.25" customHeight="1">
      <c r="Q504" s="3"/>
      <c r="R504" s="4"/>
    </row>
    <row r="505" ht="17.25" customHeight="1">
      <c r="Q505" s="3"/>
      <c r="R505" s="4"/>
    </row>
    <row r="506" ht="17.25" customHeight="1">
      <c r="Q506" s="3"/>
      <c r="R506" s="4"/>
    </row>
    <row r="507" ht="17.25" customHeight="1">
      <c r="Q507" s="3"/>
      <c r="R507" s="4"/>
    </row>
    <row r="508" ht="17.25" customHeight="1">
      <c r="Q508" s="3"/>
      <c r="R508" s="4"/>
    </row>
    <row r="509" ht="17.25" customHeight="1">
      <c r="Q509" s="3"/>
      <c r="R509" s="4"/>
    </row>
    <row r="510" ht="17.25" customHeight="1">
      <c r="Q510" s="3"/>
      <c r="R510" s="4"/>
    </row>
    <row r="511" ht="17.25" customHeight="1">
      <c r="Q511" s="3"/>
      <c r="R511" s="4"/>
    </row>
    <row r="512" ht="17.25" customHeight="1">
      <c r="Q512" s="3"/>
      <c r="R512" s="4"/>
    </row>
    <row r="513" ht="17.25" customHeight="1">
      <c r="Q513" s="3"/>
      <c r="R513" s="4"/>
    </row>
    <row r="514" ht="17.25" customHeight="1">
      <c r="Q514" s="3"/>
      <c r="R514" s="4"/>
    </row>
    <row r="515" ht="17.25" customHeight="1">
      <c r="Q515" s="3"/>
      <c r="R515" s="4"/>
    </row>
    <row r="516" ht="17.25" customHeight="1">
      <c r="Q516" s="3"/>
      <c r="R516" s="4"/>
    </row>
    <row r="517" ht="17.25" customHeight="1">
      <c r="Q517" s="3"/>
      <c r="R517" s="4"/>
    </row>
    <row r="518" ht="17.25" customHeight="1">
      <c r="Q518" s="3"/>
      <c r="R518" s="4"/>
    </row>
    <row r="519" ht="17.25" customHeight="1">
      <c r="Q519" s="3"/>
      <c r="R519" s="4"/>
    </row>
    <row r="520" ht="17.25" customHeight="1">
      <c r="Q520" s="3"/>
      <c r="R520" s="4"/>
    </row>
    <row r="521" ht="17.25" customHeight="1">
      <c r="Q521" s="3"/>
      <c r="R521" s="4"/>
    </row>
    <row r="522" ht="17.25" customHeight="1">
      <c r="Q522" s="3"/>
      <c r="R522" s="4"/>
    </row>
    <row r="523" ht="17.25" customHeight="1">
      <c r="Q523" s="3"/>
      <c r="R523" s="4"/>
    </row>
    <row r="524" ht="17.25" customHeight="1">
      <c r="Q524" s="3"/>
      <c r="R524" s="4"/>
    </row>
    <row r="525" ht="17.25" customHeight="1">
      <c r="Q525" s="3"/>
      <c r="R525" s="4"/>
    </row>
    <row r="526" ht="17.25" customHeight="1">
      <c r="Q526" s="3"/>
      <c r="R526" s="4"/>
    </row>
    <row r="527" ht="17.25" customHeight="1">
      <c r="Q527" s="3"/>
      <c r="R527" s="4"/>
    </row>
    <row r="528" ht="17.25" customHeight="1">
      <c r="Q528" s="3"/>
      <c r="R528" s="4"/>
    </row>
    <row r="529" ht="17.25" customHeight="1">
      <c r="Q529" s="3"/>
      <c r="R529" s="4"/>
    </row>
    <row r="530" ht="17.25" customHeight="1">
      <c r="Q530" s="3"/>
      <c r="R530" s="4"/>
    </row>
    <row r="531" ht="17.25" customHeight="1">
      <c r="Q531" s="3"/>
      <c r="R531" s="4"/>
    </row>
    <row r="532" ht="17.25" customHeight="1">
      <c r="Q532" s="3"/>
      <c r="R532" s="4"/>
    </row>
    <row r="533" ht="17.25" customHeight="1">
      <c r="Q533" s="3"/>
      <c r="R533" s="4"/>
    </row>
    <row r="534" ht="17.25" customHeight="1">
      <c r="Q534" s="3"/>
      <c r="R534" s="4"/>
    </row>
    <row r="535" ht="17.25" customHeight="1">
      <c r="Q535" s="3"/>
      <c r="R535" s="4"/>
    </row>
    <row r="536" ht="17.25" customHeight="1">
      <c r="Q536" s="3"/>
      <c r="R536" s="4"/>
    </row>
    <row r="537" ht="17.25" customHeight="1">
      <c r="Q537" s="3"/>
      <c r="R537" s="4"/>
    </row>
    <row r="538" ht="17.25" customHeight="1">
      <c r="Q538" s="3"/>
      <c r="R538" s="4"/>
    </row>
    <row r="539" ht="17.25" customHeight="1">
      <c r="Q539" s="3"/>
      <c r="R539" s="4"/>
    </row>
    <row r="540" ht="17.25" customHeight="1">
      <c r="Q540" s="3"/>
      <c r="R540" s="4"/>
    </row>
    <row r="541" ht="17.25" customHeight="1">
      <c r="Q541" s="3"/>
      <c r="R541" s="4"/>
    </row>
    <row r="542" ht="17.25" customHeight="1">
      <c r="Q542" s="3"/>
      <c r="R542" s="4"/>
    </row>
    <row r="543" ht="17.25" customHeight="1">
      <c r="Q543" s="3"/>
      <c r="R543" s="4"/>
    </row>
    <row r="544" ht="17.25" customHeight="1">
      <c r="Q544" s="3"/>
      <c r="R544" s="4"/>
    </row>
    <row r="545" ht="17.25" customHeight="1">
      <c r="Q545" s="3"/>
      <c r="R545" s="4"/>
    </row>
    <row r="546" ht="17.25" customHeight="1">
      <c r="Q546" s="3"/>
      <c r="R546" s="4"/>
    </row>
    <row r="547" ht="17.25" customHeight="1">
      <c r="Q547" s="3"/>
      <c r="R547" s="4"/>
    </row>
    <row r="548" ht="17.25" customHeight="1">
      <c r="Q548" s="3"/>
      <c r="R548" s="4"/>
    </row>
    <row r="549" ht="17.25" customHeight="1">
      <c r="Q549" s="3"/>
      <c r="R549" s="4"/>
    </row>
    <row r="550" ht="17.25" customHeight="1">
      <c r="Q550" s="3"/>
      <c r="R550" s="4"/>
    </row>
    <row r="551" ht="17.25" customHeight="1">
      <c r="Q551" s="3"/>
      <c r="R551" s="4"/>
    </row>
    <row r="552" ht="17.25" customHeight="1">
      <c r="Q552" s="3"/>
      <c r="R552" s="4"/>
    </row>
    <row r="553" ht="17.25" customHeight="1">
      <c r="Q553" s="3"/>
      <c r="R553" s="4"/>
    </row>
    <row r="554" ht="17.25" customHeight="1">
      <c r="Q554" s="3"/>
      <c r="R554" s="4"/>
    </row>
    <row r="555" ht="17.25" customHeight="1">
      <c r="Q555" s="3"/>
      <c r="R555" s="4"/>
    </row>
    <row r="556" ht="17.25" customHeight="1">
      <c r="Q556" s="3"/>
      <c r="R556" s="4"/>
    </row>
    <row r="557" ht="17.25" customHeight="1">
      <c r="Q557" s="3"/>
      <c r="R557" s="4"/>
    </row>
    <row r="558" ht="17.25" customHeight="1">
      <c r="Q558" s="3"/>
      <c r="R558" s="4"/>
    </row>
    <row r="559" ht="17.25" customHeight="1">
      <c r="Q559" s="3"/>
      <c r="R559" s="4"/>
    </row>
    <row r="560" ht="17.25" customHeight="1">
      <c r="Q560" s="3"/>
      <c r="R560" s="4"/>
    </row>
    <row r="561" ht="17.25" customHeight="1">
      <c r="Q561" s="3"/>
      <c r="R561" s="4"/>
    </row>
    <row r="562" ht="17.25" customHeight="1">
      <c r="Q562" s="3"/>
      <c r="R562" s="4"/>
    </row>
    <row r="563" ht="17.25" customHeight="1">
      <c r="Q563" s="3"/>
      <c r="R563" s="4"/>
    </row>
    <row r="564" ht="17.25" customHeight="1">
      <c r="Q564" s="3"/>
      <c r="R564" s="4"/>
    </row>
    <row r="565" ht="17.25" customHeight="1">
      <c r="Q565" s="3"/>
      <c r="R565" s="4"/>
    </row>
    <row r="566" ht="17.25" customHeight="1">
      <c r="Q566" s="3"/>
      <c r="R566" s="4"/>
    </row>
    <row r="567" ht="17.25" customHeight="1">
      <c r="Q567" s="3"/>
      <c r="R567" s="4"/>
    </row>
    <row r="568" ht="17.25" customHeight="1">
      <c r="Q568" s="3"/>
      <c r="R568" s="4"/>
    </row>
    <row r="569" ht="17.25" customHeight="1">
      <c r="Q569" s="3"/>
      <c r="R569" s="4"/>
    </row>
    <row r="570" ht="17.25" customHeight="1">
      <c r="Q570" s="3"/>
      <c r="R570" s="4"/>
    </row>
    <row r="571" ht="17.25" customHeight="1">
      <c r="Q571" s="3"/>
      <c r="R571" s="4"/>
    </row>
    <row r="572" ht="17.25" customHeight="1">
      <c r="Q572" s="3"/>
      <c r="R572" s="4"/>
    </row>
    <row r="573" ht="17.25" customHeight="1">
      <c r="Q573" s="3"/>
      <c r="R573" s="4"/>
    </row>
    <row r="574" ht="17.25" customHeight="1">
      <c r="Q574" s="3"/>
      <c r="R574" s="4"/>
    </row>
    <row r="575" ht="17.25" customHeight="1">
      <c r="Q575" s="3"/>
      <c r="R575" s="4"/>
    </row>
    <row r="576" ht="17.25" customHeight="1">
      <c r="Q576" s="3"/>
      <c r="R576" s="4"/>
    </row>
    <row r="577" ht="17.25" customHeight="1">
      <c r="Q577" s="3"/>
      <c r="R577" s="4"/>
    </row>
    <row r="578" ht="17.25" customHeight="1">
      <c r="Q578" s="3"/>
      <c r="R578" s="4"/>
    </row>
    <row r="579" ht="17.25" customHeight="1">
      <c r="Q579" s="3"/>
      <c r="R579" s="4"/>
    </row>
    <row r="580" ht="17.25" customHeight="1">
      <c r="Q580" s="3"/>
      <c r="R580" s="4"/>
    </row>
    <row r="581" ht="17.25" customHeight="1">
      <c r="Q581" s="3"/>
      <c r="R581" s="4"/>
    </row>
    <row r="582" ht="17.25" customHeight="1">
      <c r="Q582" s="3"/>
      <c r="R582" s="4"/>
    </row>
    <row r="583" ht="17.25" customHeight="1">
      <c r="Q583" s="3"/>
      <c r="R583" s="4"/>
    </row>
    <row r="584" ht="17.25" customHeight="1">
      <c r="Q584" s="3"/>
      <c r="R584" s="4"/>
    </row>
    <row r="585" ht="17.25" customHeight="1">
      <c r="Q585" s="3"/>
      <c r="R585" s="4"/>
    </row>
    <row r="586" ht="17.25" customHeight="1">
      <c r="Q586" s="3"/>
      <c r="R586" s="4"/>
    </row>
    <row r="587" ht="17.25" customHeight="1">
      <c r="Q587" s="3"/>
      <c r="R587" s="4"/>
    </row>
    <row r="588" ht="17.25" customHeight="1">
      <c r="Q588" s="3"/>
      <c r="R588" s="4"/>
    </row>
    <row r="589" ht="17.25" customHeight="1">
      <c r="Q589" s="3"/>
      <c r="R589" s="4"/>
    </row>
    <row r="590" ht="17.25" customHeight="1">
      <c r="Q590" s="3"/>
      <c r="R590" s="4"/>
    </row>
    <row r="591" ht="17.25" customHeight="1">
      <c r="Q591" s="3"/>
      <c r="R591" s="4"/>
    </row>
    <row r="592" ht="17.25" customHeight="1">
      <c r="Q592" s="3"/>
      <c r="R592" s="4"/>
    </row>
    <row r="593" ht="17.25" customHeight="1">
      <c r="Q593" s="3"/>
      <c r="R593" s="4"/>
    </row>
    <row r="594" ht="17.25" customHeight="1">
      <c r="Q594" s="3"/>
      <c r="R594" s="4"/>
    </row>
    <row r="595" ht="17.25" customHeight="1">
      <c r="Q595" s="3"/>
      <c r="R595" s="4"/>
    </row>
    <row r="596" ht="17.25" customHeight="1">
      <c r="Q596" s="3"/>
      <c r="R596" s="4"/>
    </row>
    <row r="597" ht="17.25" customHeight="1">
      <c r="Q597" s="3"/>
      <c r="R597" s="4"/>
    </row>
    <row r="598" ht="17.25" customHeight="1">
      <c r="Q598" s="3"/>
      <c r="R598" s="4"/>
    </row>
    <row r="599" ht="17.25" customHeight="1">
      <c r="Q599" s="3"/>
      <c r="R599" s="4"/>
    </row>
    <row r="600" ht="17.25" customHeight="1">
      <c r="Q600" s="3"/>
      <c r="R600" s="4"/>
    </row>
    <row r="601" ht="17.25" customHeight="1">
      <c r="Q601" s="3"/>
      <c r="R601" s="4"/>
    </row>
    <row r="602" ht="17.25" customHeight="1">
      <c r="Q602" s="3"/>
      <c r="R602" s="4"/>
    </row>
    <row r="603" ht="17.25" customHeight="1">
      <c r="Q603" s="3"/>
      <c r="R603" s="4"/>
    </row>
    <row r="604" ht="17.25" customHeight="1">
      <c r="Q604" s="3"/>
      <c r="R604" s="4"/>
    </row>
    <row r="605" ht="17.25" customHeight="1">
      <c r="Q605" s="3"/>
      <c r="R605" s="4"/>
    </row>
    <row r="606" ht="17.25" customHeight="1">
      <c r="Q606" s="3"/>
      <c r="R606" s="4"/>
    </row>
    <row r="607" ht="17.25" customHeight="1">
      <c r="Q607" s="3"/>
      <c r="R607" s="4"/>
    </row>
    <row r="608" ht="17.25" customHeight="1">
      <c r="Q608" s="3"/>
      <c r="R608" s="4"/>
    </row>
    <row r="609" ht="17.25" customHeight="1">
      <c r="Q609" s="3"/>
      <c r="R609" s="4"/>
    </row>
    <row r="610" ht="17.25" customHeight="1">
      <c r="Q610" s="3"/>
      <c r="R610" s="4"/>
    </row>
    <row r="611" ht="17.25" customHeight="1">
      <c r="Q611" s="3"/>
      <c r="R611" s="4"/>
    </row>
    <row r="612" ht="17.25" customHeight="1">
      <c r="Q612" s="3"/>
      <c r="R612" s="4"/>
    </row>
    <row r="613" ht="17.25" customHeight="1">
      <c r="Q613" s="3"/>
      <c r="R613" s="4"/>
    </row>
    <row r="614" ht="17.25" customHeight="1">
      <c r="Q614" s="3"/>
      <c r="R614" s="4"/>
    </row>
    <row r="615" ht="17.25" customHeight="1">
      <c r="Q615" s="3"/>
      <c r="R615" s="4"/>
    </row>
    <row r="616" ht="17.25" customHeight="1">
      <c r="Q616" s="3"/>
      <c r="R616" s="4"/>
    </row>
    <row r="617" ht="17.25" customHeight="1">
      <c r="Q617" s="3"/>
      <c r="R617" s="4"/>
    </row>
    <row r="618" ht="17.25" customHeight="1">
      <c r="Q618" s="3"/>
      <c r="R618" s="4"/>
    </row>
    <row r="619" ht="17.25" customHeight="1">
      <c r="Q619" s="3"/>
      <c r="R619" s="4"/>
    </row>
    <row r="620" ht="17.25" customHeight="1">
      <c r="Q620" s="3"/>
      <c r="R620" s="4"/>
    </row>
    <row r="621" ht="17.25" customHeight="1">
      <c r="Q621" s="3"/>
      <c r="R621" s="4"/>
    </row>
    <row r="622" ht="17.25" customHeight="1">
      <c r="Q622" s="3"/>
      <c r="R622" s="4"/>
    </row>
    <row r="623" ht="17.25" customHeight="1">
      <c r="Q623" s="3"/>
      <c r="R623" s="4"/>
    </row>
    <row r="624" ht="17.25" customHeight="1">
      <c r="Q624" s="3"/>
      <c r="R624" s="4"/>
    </row>
    <row r="625" ht="17.25" customHeight="1">
      <c r="Q625" s="3"/>
      <c r="R625" s="4"/>
    </row>
    <row r="626" ht="17.25" customHeight="1">
      <c r="Q626" s="3"/>
      <c r="R626" s="4"/>
    </row>
    <row r="627" ht="17.25" customHeight="1">
      <c r="Q627" s="3"/>
      <c r="R627" s="4"/>
    </row>
    <row r="628" ht="17.25" customHeight="1">
      <c r="Q628" s="3"/>
      <c r="R628" s="4"/>
    </row>
    <row r="629" ht="17.25" customHeight="1">
      <c r="Q629" s="3"/>
      <c r="R629" s="4"/>
    </row>
    <row r="630" ht="17.25" customHeight="1">
      <c r="Q630" s="3"/>
      <c r="R630" s="4"/>
    </row>
    <row r="631" ht="17.25" customHeight="1">
      <c r="Q631" s="3"/>
      <c r="R631" s="4"/>
    </row>
    <row r="632" ht="17.25" customHeight="1">
      <c r="Q632" s="3"/>
      <c r="R632" s="4"/>
    </row>
    <row r="633" ht="17.25" customHeight="1">
      <c r="Q633" s="3"/>
      <c r="R633" s="4"/>
    </row>
    <row r="634" ht="17.25" customHeight="1">
      <c r="Q634" s="3"/>
      <c r="R634" s="4"/>
    </row>
    <row r="635" ht="17.25" customHeight="1">
      <c r="Q635" s="3"/>
      <c r="R635" s="4"/>
    </row>
    <row r="636" ht="17.25" customHeight="1">
      <c r="Q636" s="3"/>
      <c r="R636" s="4"/>
    </row>
    <row r="637" ht="17.25" customHeight="1">
      <c r="Q637" s="3"/>
      <c r="R637" s="4"/>
    </row>
    <row r="638" ht="17.25" customHeight="1">
      <c r="Q638" s="3"/>
      <c r="R638" s="4"/>
    </row>
    <row r="639" ht="17.25" customHeight="1">
      <c r="Q639" s="3"/>
      <c r="R639" s="4"/>
    </row>
    <row r="640" ht="17.25" customHeight="1">
      <c r="Q640" s="3"/>
      <c r="R640" s="4"/>
    </row>
    <row r="641" ht="17.25" customHeight="1">
      <c r="Q641" s="3"/>
      <c r="R641" s="4"/>
    </row>
    <row r="642" ht="17.25" customHeight="1">
      <c r="Q642" s="3"/>
      <c r="R642" s="4"/>
    </row>
    <row r="643" ht="17.25" customHeight="1">
      <c r="Q643" s="3"/>
      <c r="R643" s="4"/>
    </row>
    <row r="644" ht="17.25" customHeight="1">
      <c r="Q644" s="3"/>
      <c r="R644" s="4"/>
    </row>
    <row r="645" ht="17.25" customHeight="1">
      <c r="Q645" s="3"/>
      <c r="R645" s="4"/>
    </row>
    <row r="646" ht="17.25" customHeight="1">
      <c r="Q646" s="3"/>
      <c r="R646" s="4"/>
    </row>
    <row r="647" ht="17.25" customHeight="1">
      <c r="Q647" s="3"/>
      <c r="R647" s="4"/>
    </row>
    <row r="648" ht="17.25" customHeight="1">
      <c r="Q648" s="3"/>
      <c r="R648" s="4"/>
    </row>
    <row r="649" ht="17.25" customHeight="1">
      <c r="Q649" s="3"/>
      <c r="R649" s="4"/>
    </row>
    <row r="650" ht="17.25" customHeight="1">
      <c r="Q650" s="3"/>
      <c r="R650" s="4"/>
    </row>
    <row r="651" ht="17.25" customHeight="1">
      <c r="Q651" s="3"/>
      <c r="R651" s="4"/>
    </row>
    <row r="652" ht="17.25" customHeight="1">
      <c r="Q652" s="3"/>
      <c r="R652" s="4"/>
    </row>
    <row r="653" ht="17.25" customHeight="1">
      <c r="Q653" s="3"/>
      <c r="R653" s="4"/>
    </row>
    <row r="654" ht="17.25" customHeight="1">
      <c r="Q654" s="3"/>
      <c r="R654" s="4"/>
    </row>
    <row r="655" ht="17.25" customHeight="1">
      <c r="Q655" s="3"/>
      <c r="R655" s="4"/>
    </row>
    <row r="656" ht="17.25" customHeight="1">
      <c r="Q656" s="3"/>
      <c r="R656" s="4"/>
    </row>
    <row r="657" ht="17.25" customHeight="1">
      <c r="Q657" s="3"/>
      <c r="R657" s="4"/>
    </row>
    <row r="658" ht="17.25" customHeight="1">
      <c r="Q658" s="3"/>
      <c r="R658" s="4"/>
    </row>
    <row r="659" ht="17.25" customHeight="1">
      <c r="Q659" s="3"/>
      <c r="R659" s="4"/>
    </row>
    <row r="660" ht="17.25" customHeight="1">
      <c r="Q660" s="3"/>
      <c r="R660" s="4"/>
    </row>
    <row r="661" ht="17.25" customHeight="1">
      <c r="Q661" s="3"/>
      <c r="R661" s="4"/>
    </row>
    <row r="662" ht="17.25" customHeight="1">
      <c r="Q662" s="3"/>
      <c r="R662" s="4"/>
    </row>
    <row r="663" ht="17.25" customHeight="1">
      <c r="Q663" s="3"/>
      <c r="R663" s="4"/>
    </row>
    <row r="664" ht="17.25" customHeight="1">
      <c r="Q664" s="3"/>
      <c r="R664" s="4"/>
    </row>
    <row r="665" ht="17.25" customHeight="1">
      <c r="Q665" s="3"/>
      <c r="R665" s="4"/>
    </row>
    <row r="666" ht="17.25" customHeight="1">
      <c r="Q666" s="3"/>
      <c r="R666" s="4"/>
    </row>
    <row r="667" ht="17.25" customHeight="1">
      <c r="Q667" s="3"/>
      <c r="R667" s="4"/>
    </row>
    <row r="668" ht="17.25" customHeight="1">
      <c r="Q668" s="3"/>
      <c r="R668" s="4"/>
    </row>
    <row r="669" ht="17.25" customHeight="1">
      <c r="Q669" s="3"/>
      <c r="R669" s="4"/>
    </row>
    <row r="670" ht="17.25" customHeight="1">
      <c r="Q670" s="3"/>
      <c r="R670" s="4"/>
    </row>
    <row r="671" ht="17.25" customHeight="1">
      <c r="Q671" s="3"/>
      <c r="R671" s="4"/>
    </row>
    <row r="672" ht="17.25" customHeight="1">
      <c r="Q672" s="3"/>
      <c r="R672" s="4"/>
    </row>
    <row r="673" ht="17.25" customHeight="1">
      <c r="Q673" s="3"/>
      <c r="R673" s="4"/>
    </row>
    <row r="674" ht="17.25" customHeight="1">
      <c r="Q674" s="3"/>
      <c r="R674" s="4"/>
    </row>
    <row r="675" ht="17.25" customHeight="1">
      <c r="Q675" s="3"/>
      <c r="R675" s="4"/>
    </row>
    <row r="676" ht="17.25" customHeight="1">
      <c r="Q676" s="3"/>
      <c r="R676" s="4"/>
    </row>
    <row r="677" ht="17.25" customHeight="1">
      <c r="Q677" s="3"/>
      <c r="R677" s="4"/>
    </row>
    <row r="678" ht="17.25" customHeight="1">
      <c r="Q678" s="3"/>
      <c r="R678" s="4"/>
    </row>
    <row r="679" ht="17.25" customHeight="1">
      <c r="Q679" s="3"/>
      <c r="R679" s="4"/>
    </row>
    <row r="680" ht="17.25" customHeight="1">
      <c r="Q680" s="3"/>
      <c r="R680" s="4"/>
    </row>
    <row r="681" ht="17.25" customHeight="1">
      <c r="Q681" s="3"/>
      <c r="R681" s="4"/>
    </row>
    <row r="682" ht="17.25" customHeight="1">
      <c r="Q682" s="3"/>
      <c r="R682" s="4"/>
    </row>
    <row r="683" ht="17.25" customHeight="1">
      <c r="Q683" s="3"/>
      <c r="R683" s="4"/>
    </row>
    <row r="684" ht="17.25" customHeight="1">
      <c r="Q684" s="3"/>
      <c r="R684" s="4"/>
    </row>
    <row r="685" ht="17.25" customHeight="1">
      <c r="Q685" s="3"/>
      <c r="R685" s="4"/>
    </row>
    <row r="686" ht="17.25" customHeight="1">
      <c r="Q686" s="3"/>
      <c r="R686" s="4"/>
    </row>
    <row r="687" ht="17.25" customHeight="1">
      <c r="Q687" s="3"/>
      <c r="R687" s="4"/>
    </row>
    <row r="688" ht="17.25" customHeight="1">
      <c r="Q688" s="3"/>
      <c r="R688" s="4"/>
    </row>
    <row r="689" ht="17.25" customHeight="1">
      <c r="Q689" s="3"/>
      <c r="R689" s="4"/>
    </row>
    <row r="690" ht="17.25" customHeight="1">
      <c r="Q690" s="3"/>
      <c r="R690" s="4"/>
    </row>
    <row r="691" ht="17.25" customHeight="1">
      <c r="Q691" s="3"/>
      <c r="R691" s="4"/>
    </row>
    <row r="692" ht="17.25" customHeight="1">
      <c r="Q692" s="3"/>
      <c r="R692" s="4"/>
    </row>
    <row r="693" ht="17.25" customHeight="1">
      <c r="Q693" s="3"/>
      <c r="R693" s="4"/>
    </row>
    <row r="694" ht="17.25" customHeight="1">
      <c r="Q694" s="3"/>
      <c r="R694" s="4"/>
    </row>
    <row r="695" ht="17.25" customHeight="1">
      <c r="Q695" s="3"/>
      <c r="R695" s="4"/>
    </row>
    <row r="696" ht="17.25" customHeight="1">
      <c r="Q696" s="3"/>
      <c r="R696" s="4"/>
    </row>
    <row r="697" ht="17.25" customHeight="1">
      <c r="Q697" s="3"/>
      <c r="R697" s="4"/>
    </row>
    <row r="698" ht="17.25" customHeight="1">
      <c r="Q698" s="3"/>
      <c r="R698" s="4"/>
    </row>
    <row r="699" ht="17.25" customHeight="1">
      <c r="Q699" s="3"/>
      <c r="R699" s="4"/>
    </row>
    <row r="700" ht="17.25" customHeight="1">
      <c r="Q700" s="3"/>
      <c r="R700" s="4"/>
    </row>
    <row r="701" ht="17.25" customHeight="1">
      <c r="Q701" s="3"/>
      <c r="R701" s="4"/>
    </row>
    <row r="702" ht="17.25" customHeight="1">
      <c r="Q702" s="3"/>
      <c r="R702" s="4"/>
    </row>
    <row r="703" ht="17.25" customHeight="1">
      <c r="Q703" s="3"/>
      <c r="R703" s="4"/>
    </row>
    <row r="704" ht="17.25" customHeight="1">
      <c r="Q704" s="3"/>
      <c r="R704" s="4"/>
    </row>
    <row r="705" ht="17.25" customHeight="1">
      <c r="Q705" s="3"/>
      <c r="R705" s="4"/>
    </row>
    <row r="706" ht="17.25" customHeight="1">
      <c r="Q706" s="3"/>
      <c r="R706" s="4"/>
    </row>
    <row r="707" ht="17.25" customHeight="1">
      <c r="Q707" s="3"/>
      <c r="R707" s="4"/>
    </row>
    <row r="708" ht="17.25" customHeight="1">
      <c r="Q708" s="3"/>
      <c r="R708" s="4"/>
    </row>
    <row r="709" ht="17.25" customHeight="1">
      <c r="Q709" s="3"/>
      <c r="R709" s="4"/>
    </row>
    <row r="710" ht="17.25" customHeight="1">
      <c r="Q710" s="3"/>
      <c r="R710" s="4"/>
    </row>
    <row r="711" ht="17.25" customHeight="1">
      <c r="Q711" s="3"/>
      <c r="R711" s="4"/>
    </row>
    <row r="712" ht="17.25" customHeight="1">
      <c r="Q712" s="3"/>
      <c r="R712" s="4"/>
    </row>
    <row r="713" ht="17.25" customHeight="1">
      <c r="Q713" s="3"/>
      <c r="R713" s="4"/>
    </row>
    <row r="714" ht="17.25" customHeight="1">
      <c r="Q714" s="3"/>
      <c r="R714" s="4"/>
    </row>
    <row r="715" ht="17.25" customHeight="1">
      <c r="Q715" s="3"/>
      <c r="R715" s="4"/>
    </row>
    <row r="716" ht="17.25" customHeight="1">
      <c r="Q716" s="3"/>
      <c r="R716" s="4"/>
    </row>
    <row r="717" ht="17.25" customHeight="1">
      <c r="Q717" s="3"/>
      <c r="R717" s="4"/>
    </row>
    <row r="718" ht="17.25" customHeight="1">
      <c r="Q718" s="3"/>
      <c r="R718" s="4"/>
    </row>
    <row r="719" ht="17.25" customHeight="1">
      <c r="Q719" s="3"/>
      <c r="R719" s="4"/>
    </row>
    <row r="720" ht="17.25" customHeight="1">
      <c r="Q720" s="3"/>
      <c r="R720" s="4"/>
    </row>
    <row r="721" ht="17.25" customHeight="1">
      <c r="Q721" s="3"/>
      <c r="R721" s="4"/>
    </row>
    <row r="722" ht="17.25" customHeight="1">
      <c r="Q722" s="3"/>
      <c r="R722" s="4"/>
    </row>
    <row r="723" ht="17.25" customHeight="1">
      <c r="Q723" s="3"/>
      <c r="R723" s="4"/>
    </row>
    <row r="724" ht="17.25" customHeight="1">
      <c r="Q724" s="3"/>
      <c r="R724" s="4"/>
    </row>
    <row r="725" ht="17.25" customHeight="1">
      <c r="Q725" s="3"/>
      <c r="R725" s="4"/>
    </row>
    <row r="726" ht="17.25" customHeight="1">
      <c r="Q726" s="3"/>
      <c r="R726" s="4"/>
    </row>
    <row r="727" ht="17.25" customHeight="1">
      <c r="Q727" s="3"/>
      <c r="R727" s="4"/>
    </row>
    <row r="728" ht="17.25" customHeight="1">
      <c r="Q728" s="3"/>
      <c r="R728" s="4"/>
    </row>
    <row r="729" ht="17.25" customHeight="1">
      <c r="Q729" s="3"/>
      <c r="R729" s="4"/>
    </row>
    <row r="730" ht="17.25" customHeight="1">
      <c r="Q730" s="3"/>
      <c r="R730" s="4"/>
    </row>
    <row r="731" ht="17.25" customHeight="1">
      <c r="Q731" s="3"/>
      <c r="R731" s="4"/>
    </row>
    <row r="732" ht="17.25" customHeight="1">
      <c r="Q732" s="3"/>
      <c r="R732" s="4"/>
    </row>
    <row r="733" ht="17.25" customHeight="1">
      <c r="Q733" s="3"/>
      <c r="R733" s="4"/>
    </row>
    <row r="734" ht="17.25" customHeight="1">
      <c r="Q734" s="3"/>
      <c r="R734" s="4"/>
    </row>
    <row r="735" ht="17.25" customHeight="1">
      <c r="Q735" s="3"/>
      <c r="R735" s="4"/>
    </row>
    <row r="736" ht="17.25" customHeight="1">
      <c r="Q736" s="3"/>
      <c r="R736" s="4"/>
    </row>
    <row r="737" ht="17.25" customHeight="1">
      <c r="Q737" s="3"/>
      <c r="R737" s="4"/>
    </row>
    <row r="738" ht="17.25" customHeight="1">
      <c r="Q738" s="3"/>
      <c r="R738" s="4"/>
    </row>
    <row r="739" ht="17.25" customHeight="1">
      <c r="Q739" s="3"/>
      <c r="R739" s="4"/>
    </row>
    <row r="740" ht="17.25" customHeight="1">
      <c r="Q740" s="3"/>
      <c r="R740" s="4"/>
    </row>
    <row r="741" ht="17.25" customHeight="1">
      <c r="Q741" s="3"/>
      <c r="R741" s="4"/>
    </row>
    <row r="742" ht="17.25" customHeight="1">
      <c r="Q742" s="3"/>
      <c r="R742" s="4"/>
    </row>
    <row r="743" ht="17.25" customHeight="1">
      <c r="Q743" s="3"/>
      <c r="R743" s="4"/>
    </row>
    <row r="744" ht="17.25" customHeight="1">
      <c r="Q744" s="3"/>
      <c r="R744" s="4"/>
    </row>
    <row r="745" ht="17.25" customHeight="1">
      <c r="Q745" s="3"/>
      <c r="R745" s="4"/>
    </row>
    <row r="746" ht="17.25" customHeight="1">
      <c r="Q746" s="3"/>
      <c r="R746" s="4"/>
    </row>
    <row r="747" ht="17.25" customHeight="1">
      <c r="Q747" s="3"/>
      <c r="R747" s="4"/>
    </row>
    <row r="748" ht="17.25" customHeight="1">
      <c r="Q748" s="3"/>
      <c r="R748" s="4"/>
    </row>
    <row r="749" ht="17.25" customHeight="1">
      <c r="Q749" s="3"/>
      <c r="R749" s="4"/>
    </row>
    <row r="750" ht="17.25" customHeight="1">
      <c r="Q750" s="3"/>
      <c r="R750" s="4"/>
    </row>
    <row r="751" ht="17.25" customHeight="1">
      <c r="Q751" s="3"/>
      <c r="R751" s="4"/>
    </row>
    <row r="752" ht="17.25" customHeight="1">
      <c r="Q752" s="3"/>
      <c r="R752" s="4"/>
    </row>
    <row r="753" ht="17.25" customHeight="1">
      <c r="Q753" s="3"/>
      <c r="R753" s="4"/>
    </row>
    <row r="754" ht="17.25" customHeight="1">
      <c r="Q754" s="3"/>
      <c r="R754" s="4"/>
    </row>
    <row r="755" ht="17.25" customHeight="1">
      <c r="Q755" s="3"/>
      <c r="R755" s="4"/>
    </row>
    <row r="756" ht="17.25" customHeight="1">
      <c r="Q756" s="3"/>
      <c r="R756" s="4"/>
    </row>
    <row r="757" ht="17.25" customHeight="1">
      <c r="Q757" s="3"/>
      <c r="R757" s="4"/>
    </row>
    <row r="758" ht="17.25" customHeight="1">
      <c r="Q758" s="3"/>
      <c r="R758" s="4"/>
    </row>
    <row r="759" ht="17.25" customHeight="1">
      <c r="Q759" s="3"/>
      <c r="R759" s="4"/>
    </row>
    <row r="760" ht="17.25" customHeight="1">
      <c r="Q760" s="3"/>
      <c r="R760" s="4"/>
    </row>
    <row r="761" ht="17.25" customHeight="1">
      <c r="Q761" s="3"/>
      <c r="R761" s="4"/>
    </row>
    <row r="762" ht="17.25" customHeight="1">
      <c r="Q762" s="3"/>
      <c r="R762" s="4"/>
    </row>
    <row r="763" ht="17.25" customHeight="1">
      <c r="Q763" s="3"/>
      <c r="R763" s="4"/>
    </row>
    <row r="764" ht="17.25" customHeight="1">
      <c r="Q764" s="3"/>
      <c r="R764" s="4"/>
    </row>
    <row r="765" ht="17.25" customHeight="1">
      <c r="Q765" s="3"/>
      <c r="R765" s="4"/>
    </row>
    <row r="766" ht="17.25" customHeight="1">
      <c r="Q766" s="3"/>
      <c r="R766" s="4"/>
    </row>
    <row r="767" ht="17.25" customHeight="1">
      <c r="Q767" s="3"/>
      <c r="R767" s="4"/>
    </row>
    <row r="768" ht="17.25" customHeight="1">
      <c r="Q768" s="3"/>
      <c r="R768" s="4"/>
    </row>
    <row r="769" ht="17.25" customHeight="1">
      <c r="Q769" s="3"/>
      <c r="R769" s="4"/>
    </row>
    <row r="770" ht="17.25" customHeight="1">
      <c r="Q770" s="3"/>
      <c r="R770" s="4"/>
    </row>
    <row r="771" ht="17.25" customHeight="1">
      <c r="Q771" s="3"/>
      <c r="R771" s="4"/>
    </row>
    <row r="772" ht="17.25" customHeight="1">
      <c r="Q772" s="3"/>
      <c r="R772" s="4"/>
    </row>
    <row r="773" ht="17.25" customHeight="1">
      <c r="Q773" s="3"/>
      <c r="R773" s="4"/>
    </row>
    <row r="774" ht="17.25" customHeight="1">
      <c r="Q774" s="3"/>
      <c r="R774" s="4"/>
    </row>
    <row r="775" ht="17.25" customHeight="1">
      <c r="Q775" s="3"/>
      <c r="R775" s="4"/>
    </row>
    <row r="776" ht="17.25" customHeight="1">
      <c r="Q776" s="3"/>
      <c r="R776" s="4"/>
    </row>
    <row r="777" ht="17.25" customHeight="1">
      <c r="Q777" s="3"/>
      <c r="R777" s="4"/>
    </row>
    <row r="778" ht="17.25" customHeight="1">
      <c r="Q778" s="3"/>
      <c r="R778" s="4"/>
    </row>
    <row r="779" ht="17.25" customHeight="1">
      <c r="Q779" s="3"/>
      <c r="R779" s="4"/>
    </row>
    <row r="780" ht="17.25" customHeight="1">
      <c r="Q780" s="3"/>
      <c r="R780" s="4"/>
    </row>
    <row r="781" ht="17.25" customHeight="1">
      <c r="Q781" s="3"/>
      <c r="R781" s="4"/>
    </row>
    <row r="782" ht="17.25" customHeight="1">
      <c r="Q782" s="3"/>
      <c r="R782" s="4"/>
    </row>
    <row r="783" ht="17.25" customHeight="1">
      <c r="Q783" s="3"/>
      <c r="R783" s="4"/>
    </row>
    <row r="784" ht="17.25" customHeight="1">
      <c r="Q784" s="3"/>
      <c r="R784" s="4"/>
    </row>
    <row r="785" ht="17.25" customHeight="1">
      <c r="Q785" s="3"/>
      <c r="R785" s="4"/>
    </row>
    <row r="786" ht="17.25" customHeight="1">
      <c r="Q786" s="3"/>
      <c r="R786" s="4"/>
    </row>
    <row r="787" ht="17.25" customHeight="1">
      <c r="Q787" s="3"/>
      <c r="R787" s="4"/>
    </row>
    <row r="788" ht="17.25" customHeight="1">
      <c r="Q788" s="3"/>
      <c r="R788" s="4"/>
    </row>
    <row r="789" ht="17.25" customHeight="1">
      <c r="Q789" s="3"/>
      <c r="R789" s="4"/>
    </row>
    <row r="790" ht="17.25" customHeight="1">
      <c r="Q790" s="3"/>
      <c r="R790" s="4"/>
    </row>
    <row r="791" ht="17.25" customHeight="1">
      <c r="Q791" s="3"/>
      <c r="R791" s="4"/>
    </row>
    <row r="792" ht="17.25" customHeight="1">
      <c r="Q792" s="3"/>
      <c r="R792" s="4"/>
    </row>
    <row r="793" ht="17.25" customHeight="1">
      <c r="Q793" s="3"/>
      <c r="R793" s="4"/>
    </row>
    <row r="794" ht="17.25" customHeight="1">
      <c r="Q794" s="3"/>
      <c r="R794" s="4"/>
    </row>
    <row r="795" ht="17.25" customHeight="1">
      <c r="Q795" s="3"/>
      <c r="R795" s="4"/>
    </row>
    <row r="796" ht="17.25" customHeight="1">
      <c r="Q796" s="3"/>
      <c r="R796" s="4"/>
    </row>
    <row r="797" ht="17.25" customHeight="1">
      <c r="Q797" s="3"/>
      <c r="R797" s="4"/>
    </row>
    <row r="798" ht="17.25" customHeight="1">
      <c r="Q798" s="3"/>
      <c r="R798" s="4"/>
    </row>
    <row r="799" ht="17.25" customHeight="1">
      <c r="Q799" s="3"/>
      <c r="R799" s="4"/>
    </row>
    <row r="800" ht="17.25" customHeight="1">
      <c r="Q800" s="3"/>
      <c r="R800" s="4"/>
    </row>
    <row r="801" ht="17.25" customHeight="1">
      <c r="Q801" s="3"/>
      <c r="R801" s="4"/>
    </row>
    <row r="802" ht="17.25" customHeight="1">
      <c r="Q802" s="3"/>
      <c r="R802" s="4"/>
    </row>
    <row r="803" ht="17.25" customHeight="1">
      <c r="Q803" s="3"/>
      <c r="R803" s="4"/>
    </row>
    <row r="804" ht="17.25" customHeight="1">
      <c r="Q804" s="3"/>
      <c r="R804" s="4"/>
    </row>
    <row r="805" ht="17.25" customHeight="1">
      <c r="Q805" s="3"/>
      <c r="R805" s="4"/>
    </row>
    <row r="806" ht="17.25" customHeight="1">
      <c r="Q806" s="3"/>
      <c r="R806" s="4"/>
    </row>
    <row r="807" ht="17.25" customHeight="1">
      <c r="Q807" s="3"/>
      <c r="R807" s="4"/>
    </row>
    <row r="808" ht="17.25" customHeight="1">
      <c r="Q808" s="3"/>
      <c r="R808" s="4"/>
    </row>
    <row r="809" ht="17.25" customHeight="1">
      <c r="Q809" s="3"/>
      <c r="R809" s="4"/>
    </row>
    <row r="810" ht="17.25" customHeight="1">
      <c r="Q810" s="3"/>
      <c r="R810" s="4"/>
    </row>
    <row r="811" ht="17.25" customHeight="1">
      <c r="Q811" s="3"/>
      <c r="R811" s="4"/>
    </row>
    <row r="812" ht="17.25" customHeight="1">
      <c r="Q812" s="3"/>
      <c r="R812" s="4"/>
    </row>
    <row r="813" ht="17.25" customHeight="1">
      <c r="Q813" s="3"/>
      <c r="R813" s="4"/>
    </row>
    <row r="814" ht="17.25" customHeight="1">
      <c r="Q814" s="3"/>
      <c r="R814" s="4"/>
    </row>
    <row r="815" ht="17.25" customHeight="1">
      <c r="Q815" s="3"/>
      <c r="R815" s="4"/>
    </row>
    <row r="816" ht="17.25" customHeight="1">
      <c r="Q816" s="3"/>
      <c r="R816" s="4"/>
    </row>
    <row r="817" ht="17.25" customHeight="1">
      <c r="Q817" s="3"/>
      <c r="R817" s="4"/>
    </row>
    <row r="818" ht="17.25" customHeight="1">
      <c r="Q818" s="3"/>
      <c r="R818" s="4"/>
    </row>
    <row r="819" ht="17.25" customHeight="1">
      <c r="Q819" s="3"/>
      <c r="R819" s="4"/>
    </row>
    <row r="820" ht="17.25" customHeight="1">
      <c r="Q820" s="3"/>
      <c r="R820" s="4"/>
    </row>
    <row r="821" ht="17.25" customHeight="1">
      <c r="Q821" s="3"/>
      <c r="R821" s="4"/>
    </row>
    <row r="822" ht="17.25" customHeight="1">
      <c r="Q822" s="3"/>
      <c r="R822" s="4"/>
    </row>
    <row r="823" ht="17.25" customHeight="1">
      <c r="Q823" s="3"/>
      <c r="R823" s="4"/>
    </row>
    <row r="824" ht="17.25" customHeight="1">
      <c r="Q824" s="3"/>
      <c r="R824" s="4"/>
    </row>
    <row r="825" ht="17.25" customHeight="1">
      <c r="Q825" s="3"/>
      <c r="R825" s="4"/>
    </row>
    <row r="826" ht="17.25" customHeight="1">
      <c r="Q826" s="3"/>
      <c r="R826" s="4"/>
    </row>
    <row r="827" ht="17.25" customHeight="1">
      <c r="Q827" s="3"/>
      <c r="R827" s="4"/>
    </row>
    <row r="828" ht="17.25" customHeight="1">
      <c r="Q828" s="3"/>
      <c r="R828" s="4"/>
    </row>
    <row r="829" ht="17.25" customHeight="1">
      <c r="Q829" s="3"/>
      <c r="R829" s="4"/>
    </row>
    <row r="830" ht="17.25" customHeight="1">
      <c r="Q830" s="3"/>
      <c r="R830" s="4"/>
    </row>
    <row r="831" ht="17.25" customHeight="1">
      <c r="Q831" s="3"/>
      <c r="R831" s="4"/>
    </row>
    <row r="832" ht="17.25" customHeight="1">
      <c r="Q832" s="3"/>
      <c r="R832" s="4"/>
    </row>
    <row r="833" ht="17.25" customHeight="1">
      <c r="Q833" s="3"/>
      <c r="R833" s="4"/>
    </row>
    <row r="834" ht="17.25" customHeight="1">
      <c r="Q834" s="3"/>
      <c r="R834" s="4"/>
    </row>
    <row r="835" ht="17.25" customHeight="1">
      <c r="Q835" s="3"/>
      <c r="R835" s="4"/>
    </row>
    <row r="836" ht="17.25" customHeight="1">
      <c r="Q836" s="3"/>
      <c r="R836" s="4"/>
    </row>
    <row r="837" ht="17.25" customHeight="1">
      <c r="Q837" s="3"/>
      <c r="R837" s="4"/>
    </row>
    <row r="838" ht="17.25" customHeight="1">
      <c r="Q838" s="3"/>
      <c r="R838" s="4"/>
    </row>
    <row r="839" ht="17.25" customHeight="1">
      <c r="Q839" s="3"/>
      <c r="R839" s="4"/>
    </row>
    <row r="840" ht="17.25" customHeight="1">
      <c r="Q840" s="3"/>
      <c r="R840" s="4"/>
    </row>
    <row r="841" ht="17.25" customHeight="1">
      <c r="Q841" s="3"/>
      <c r="R841" s="4"/>
    </row>
    <row r="842" ht="17.25" customHeight="1">
      <c r="Q842" s="3"/>
      <c r="R842" s="4"/>
    </row>
    <row r="843" ht="17.25" customHeight="1">
      <c r="Q843" s="3"/>
      <c r="R843" s="4"/>
    </row>
    <row r="844" ht="17.25" customHeight="1">
      <c r="Q844" s="3"/>
      <c r="R844" s="4"/>
    </row>
    <row r="845" ht="17.25" customHeight="1">
      <c r="Q845" s="3"/>
      <c r="R845" s="4"/>
    </row>
    <row r="846" ht="17.25" customHeight="1">
      <c r="Q846" s="3"/>
      <c r="R846" s="4"/>
    </row>
    <row r="847" ht="17.25" customHeight="1">
      <c r="Q847" s="3"/>
      <c r="R847" s="4"/>
    </row>
    <row r="848" ht="17.25" customHeight="1">
      <c r="Q848" s="3"/>
      <c r="R848" s="4"/>
    </row>
    <row r="849" ht="17.25" customHeight="1">
      <c r="Q849" s="3"/>
      <c r="R849" s="4"/>
    </row>
    <row r="850" ht="17.25" customHeight="1">
      <c r="Q850" s="3"/>
      <c r="R850" s="4"/>
    </row>
    <row r="851" ht="17.25" customHeight="1">
      <c r="Q851" s="3"/>
      <c r="R851" s="4"/>
    </row>
    <row r="852" ht="17.25" customHeight="1">
      <c r="Q852" s="3"/>
      <c r="R852" s="4"/>
    </row>
    <row r="853" ht="17.25" customHeight="1">
      <c r="Q853" s="3"/>
      <c r="R853" s="4"/>
    </row>
    <row r="854" ht="17.25" customHeight="1">
      <c r="Q854" s="3"/>
      <c r="R854" s="4"/>
    </row>
    <row r="855" ht="17.25" customHeight="1">
      <c r="Q855" s="3"/>
      <c r="R855" s="4"/>
    </row>
    <row r="856" ht="17.25" customHeight="1">
      <c r="Q856" s="3"/>
      <c r="R856" s="4"/>
    </row>
    <row r="857" ht="17.25" customHeight="1">
      <c r="Q857" s="3"/>
      <c r="R857" s="4"/>
    </row>
    <row r="858" ht="17.25" customHeight="1">
      <c r="Q858" s="3"/>
      <c r="R858" s="4"/>
    </row>
    <row r="859" ht="17.25" customHeight="1">
      <c r="Q859" s="3"/>
      <c r="R859" s="4"/>
    </row>
    <row r="860" ht="17.25" customHeight="1">
      <c r="Q860" s="3"/>
      <c r="R860" s="4"/>
    </row>
    <row r="861" ht="17.25" customHeight="1">
      <c r="Q861" s="3"/>
      <c r="R861" s="4"/>
    </row>
    <row r="862" ht="17.25" customHeight="1">
      <c r="Q862" s="3"/>
      <c r="R862" s="4"/>
    </row>
    <row r="863" ht="17.25" customHeight="1">
      <c r="Q863" s="3"/>
      <c r="R863" s="4"/>
    </row>
    <row r="864" ht="17.25" customHeight="1">
      <c r="Q864" s="3"/>
      <c r="R864" s="4"/>
    </row>
    <row r="865" ht="17.25" customHeight="1">
      <c r="Q865" s="3"/>
      <c r="R865" s="4"/>
    </row>
    <row r="866" ht="17.25" customHeight="1">
      <c r="Q866" s="3"/>
      <c r="R866" s="4"/>
    </row>
    <row r="867" ht="17.25" customHeight="1">
      <c r="Q867" s="3"/>
      <c r="R867" s="4"/>
    </row>
    <row r="868" ht="17.25" customHeight="1">
      <c r="Q868" s="3"/>
      <c r="R868" s="4"/>
    </row>
    <row r="869" ht="17.25" customHeight="1">
      <c r="Q869" s="3"/>
      <c r="R869" s="4"/>
    </row>
    <row r="870" ht="17.25" customHeight="1">
      <c r="Q870" s="3"/>
      <c r="R870" s="4"/>
    </row>
    <row r="871" ht="17.25" customHeight="1">
      <c r="Q871" s="3"/>
      <c r="R871" s="4"/>
    </row>
    <row r="872" ht="17.25" customHeight="1">
      <c r="Q872" s="3"/>
      <c r="R872" s="4"/>
    </row>
    <row r="873" ht="17.25" customHeight="1">
      <c r="Q873" s="3"/>
      <c r="R873" s="4"/>
    </row>
    <row r="874" ht="17.25" customHeight="1">
      <c r="Q874" s="3"/>
      <c r="R874" s="4"/>
    </row>
    <row r="875" ht="17.25" customHeight="1">
      <c r="Q875" s="3"/>
      <c r="R875" s="4"/>
    </row>
    <row r="876" ht="17.25" customHeight="1">
      <c r="Q876" s="3"/>
      <c r="R876" s="4"/>
    </row>
    <row r="877" ht="17.25" customHeight="1">
      <c r="Q877" s="3"/>
      <c r="R877" s="4"/>
    </row>
    <row r="878" ht="17.25" customHeight="1">
      <c r="Q878" s="3"/>
      <c r="R878" s="4"/>
    </row>
    <row r="879" ht="17.25" customHeight="1">
      <c r="Q879" s="3"/>
      <c r="R879" s="4"/>
    </row>
    <row r="880" ht="17.25" customHeight="1">
      <c r="Q880" s="3"/>
      <c r="R880" s="4"/>
    </row>
    <row r="881" ht="17.25" customHeight="1">
      <c r="Q881" s="3"/>
      <c r="R881" s="4"/>
    </row>
    <row r="882" ht="17.25" customHeight="1">
      <c r="Q882" s="3"/>
      <c r="R882" s="4"/>
    </row>
    <row r="883" ht="17.25" customHeight="1">
      <c r="Q883" s="3"/>
      <c r="R883" s="4"/>
    </row>
    <row r="884" ht="17.25" customHeight="1">
      <c r="Q884" s="3"/>
      <c r="R884" s="4"/>
    </row>
    <row r="885" ht="17.25" customHeight="1">
      <c r="Q885" s="3"/>
      <c r="R885" s="4"/>
    </row>
    <row r="886" ht="17.25" customHeight="1">
      <c r="Q886" s="3"/>
      <c r="R886" s="4"/>
    </row>
    <row r="887" ht="17.25" customHeight="1">
      <c r="Q887" s="3"/>
      <c r="R887" s="4"/>
    </row>
    <row r="888" ht="17.25" customHeight="1">
      <c r="Q888" s="3"/>
      <c r="R888" s="4"/>
    </row>
    <row r="889" ht="17.25" customHeight="1">
      <c r="Q889" s="3"/>
      <c r="R889" s="4"/>
    </row>
    <row r="890" ht="17.25" customHeight="1">
      <c r="Q890" s="3"/>
      <c r="R890" s="4"/>
    </row>
    <row r="891" ht="17.25" customHeight="1">
      <c r="Q891" s="3"/>
      <c r="R891" s="4"/>
    </row>
    <row r="892" ht="17.25" customHeight="1">
      <c r="Q892" s="3"/>
      <c r="R892" s="4"/>
    </row>
    <row r="893" ht="17.25" customHeight="1">
      <c r="Q893" s="3"/>
      <c r="R893" s="4"/>
    </row>
    <row r="894" ht="17.25" customHeight="1">
      <c r="Q894" s="3"/>
      <c r="R894" s="4"/>
    </row>
    <row r="895" ht="17.25" customHeight="1">
      <c r="Q895" s="3"/>
      <c r="R895" s="4"/>
    </row>
    <row r="896" ht="17.25" customHeight="1">
      <c r="Q896" s="3"/>
      <c r="R896" s="4"/>
    </row>
    <row r="897" ht="17.25" customHeight="1">
      <c r="Q897" s="3"/>
      <c r="R897" s="4"/>
    </row>
    <row r="898" ht="17.25" customHeight="1">
      <c r="Q898" s="3"/>
      <c r="R898" s="4"/>
    </row>
    <row r="899" ht="17.25" customHeight="1">
      <c r="Q899" s="3"/>
      <c r="R899" s="4"/>
    </row>
    <row r="900" ht="17.25" customHeight="1">
      <c r="Q900" s="3"/>
      <c r="R900" s="4"/>
    </row>
    <row r="901" ht="17.25" customHeight="1">
      <c r="Q901" s="3"/>
      <c r="R901" s="4"/>
    </row>
    <row r="902" ht="17.25" customHeight="1">
      <c r="Q902" s="3"/>
      <c r="R902" s="4"/>
    </row>
    <row r="903" ht="17.25" customHeight="1">
      <c r="Q903" s="3"/>
      <c r="R903" s="4"/>
    </row>
    <row r="904" ht="17.25" customHeight="1">
      <c r="Q904" s="3"/>
      <c r="R904" s="4"/>
    </row>
    <row r="905" ht="17.25" customHeight="1">
      <c r="Q905" s="3"/>
      <c r="R905" s="4"/>
    </row>
    <row r="906" ht="17.25" customHeight="1">
      <c r="Q906" s="3"/>
      <c r="R906" s="4"/>
    </row>
    <row r="907" ht="17.25" customHeight="1">
      <c r="Q907" s="3"/>
      <c r="R907" s="4"/>
    </row>
    <row r="908" ht="17.25" customHeight="1">
      <c r="Q908" s="3"/>
      <c r="R908" s="4"/>
    </row>
    <row r="909" ht="17.25" customHeight="1">
      <c r="Q909" s="3"/>
      <c r="R909" s="4"/>
    </row>
    <row r="910" ht="17.25" customHeight="1">
      <c r="Q910" s="3"/>
      <c r="R910" s="4"/>
    </row>
    <row r="911" ht="17.25" customHeight="1">
      <c r="Q911" s="3"/>
      <c r="R911" s="4"/>
    </row>
    <row r="912" ht="17.25" customHeight="1">
      <c r="Q912" s="3"/>
      <c r="R912" s="4"/>
    </row>
    <row r="913" ht="17.25" customHeight="1">
      <c r="Q913" s="3"/>
      <c r="R913" s="4"/>
    </row>
    <row r="914" ht="17.25" customHeight="1">
      <c r="Q914" s="3"/>
      <c r="R914" s="4"/>
    </row>
    <row r="915" ht="17.25" customHeight="1">
      <c r="Q915" s="3"/>
      <c r="R915" s="4"/>
    </row>
    <row r="916" ht="17.25" customHeight="1">
      <c r="Q916" s="3"/>
      <c r="R916" s="4"/>
    </row>
    <row r="917" ht="17.25" customHeight="1">
      <c r="Q917" s="3"/>
      <c r="R917" s="4"/>
    </row>
    <row r="918" ht="17.25" customHeight="1">
      <c r="Q918" s="3"/>
      <c r="R918" s="4"/>
    </row>
    <row r="919" ht="17.25" customHeight="1">
      <c r="Q919" s="3"/>
      <c r="R919" s="4"/>
    </row>
    <row r="920" ht="17.25" customHeight="1">
      <c r="Q920" s="3"/>
      <c r="R920" s="4"/>
    </row>
    <row r="921" ht="17.25" customHeight="1">
      <c r="Q921" s="3"/>
      <c r="R921" s="4"/>
    </row>
    <row r="922" ht="17.25" customHeight="1">
      <c r="Q922" s="3"/>
      <c r="R922" s="4"/>
    </row>
    <row r="923" ht="17.25" customHeight="1">
      <c r="Q923" s="3"/>
      <c r="R923" s="4"/>
    </row>
    <row r="924" ht="17.25" customHeight="1">
      <c r="Q924" s="3"/>
      <c r="R924" s="4"/>
    </row>
    <row r="925" ht="17.25" customHeight="1">
      <c r="Q925" s="3"/>
      <c r="R925" s="4"/>
    </row>
    <row r="926" ht="17.25" customHeight="1">
      <c r="Q926" s="3"/>
      <c r="R926" s="4"/>
    </row>
    <row r="927" ht="17.25" customHeight="1">
      <c r="Q927" s="3"/>
      <c r="R927" s="4"/>
    </row>
    <row r="928" ht="17.25" customHeight="1">
      <c r="Q928" s="3"/>
      <c r="R928" s="4"/>
    </row>
    <row r="929" ht="17.25" customHeight="1">
      <c r="Q929" s="3"/>
      <c r="R929" s="4"/>
    </row>
    <row r="930" ht="17.25" customHeight="1">
      <c r="Q930" s="3"/>
      <c r="R930" s="4"/>
    </row>
    <row r="931" ht="17.25" customHeight="1">
      <c r="Q931" s="3"/>
      <c r="R931" s="4"/>
    </row>
    <row r="932" ht="17.25" customHeight="1">
      <c r="Q932" s="3"/>
      <c r="R932" s="4"/>
    </row>
    <row r="933" ht="17.25" customHeight="1">
      <c r="Q933" s="3"/>
      <c r="R933" s="4"/>
    </row>
    <row r="934" ht="17.25" customHeight="1">
      <c r="Q934" s="3"/>
      <c r="R934" s="4"/>
    </row>
    <row r="935" ht="17.25" customHeight="1">
      <c r="Q935" s="3"/>
      <c r="R935" s="4"/>
    </row>
    <row r="936" ht="17.25" customHeight="1">
      <c r="Q936" s="3"/>
      <c r="R936" s="4"/>
    </row>
    <row r="937" ht="17.25" customHeight="1">
      <c r="Q937" s="3"/>
      <c r="R937" s="4"/>
    </row>
    <row r="938" ht="17.25" customHeight="1">
      <c r="Q938" s="3"/>
      <c r="R938" s="4"/>
    </row>
    <row r="939" ht="17.25" customHeight="1">
      <c r="Q939" s="3"/>
      <c r="R939" s="4"/>
    </row>
    <row r="940" ht="17.25" customHeight="1">
      <c r="Q940" s="3"/>
      <c r="R940" s="4"/>
    </row>
    <row r="941" ht="17.25" customHeight="1">
      <c r="Q941" s="3"/>
      <c r="R941" s="4"/>
    </row>
    <row r="942" ht="17.25" customHeight="1">
      <c r="Q942" s="3"/>
      <c r="R942" s="4"/>
    </row>
    <row r="943" ht="17.25" customHeight="1">
      <c r="Q943" s="3"/>
      <c r="R943" s="4"/>
    </row>
    <row r="944" ht="17.25" customHeight="1">
      <c r="Q944" s="3"/>
      <c r="R944" s="4"/>
    </row>
    <row r="945" ht="17.25" customHeight="1">
      <c r="Q945" s="3"/>
      <c r="R945" s="4"/>
    </row>
    <row r="946" ht="17.25" customHeight="1">
      <c r="Q946" s="3"/>
      <c r="R946" s="4"/>
    </row>
    <row r="947" ht="17.25" customHeight="1">
      <c r="Q947" s="3"/>
      <c r="R947" s="4"/>
    </row>
    <row r="948" ht="17.25" customHeight="1">
      <c r="Q948" s="3"/>
      <c r="R948" s="4"/>
    </row>
    <row r="949" ht="17.25" customHeight="1">
      <c r="Q949" s="3"/>
      <c r="R949" s="4"/>
    </row>
    <row r="950" ht="17.25" customHeight="1">
      <c r="Q950" s="3"/>
      <c r="R950" s="4"/>
    </row>
    <row r="951" ht="17.25" customHeight="1">
      <c r="Q951" s="3"/>
      <c r="R951" s="4"/>
    </row>
    <row r="952" ht="17.25" customHeight="1">
      <c r="Q952" s="3"/>
      <c r="R952" s="4"/>
    </row>
    <row r="953" ht="17.25" customHeight="1">
      <c r="Q953" s="3"/>
      <c r="R953" s="4"/>
    </row>
    <row r="954" ht="17.25" customHeight="1">
      <c r="Q954" s="3"/>
      <c r="R954" s="4"/>
    </row>
    <row r="955" ht="17.25" customHeight="1">
      <c r="Q955" s="3"/>
      <c r="R955" s="4"/>
    </row>
    <row r="956" ht="17.25" customHeight="1">
      <c r="Q956" s="3"/>
      <c r="R956" s="4"/>
    </row>
    <row r="957" ht="17.25" customHeight="1">
      <c r="Q957" s="3"/>
      <c r="R957" s="4"/>
    </row>
    <row r="958" ht="17.25" customHeight="1">
      <c r="Q958" s="3"/>
      <c r="R958" s="4"/>
    </row>
    <row r="959" ht="17.25" customHeight="1">
      <c r="Q959" s="3"/>
      <c r="R959" s="4"/>
    </row>
    <row r="960" ht="17.25" customHeight="1">
      <c r="Q960" s="3"/>
      <c r="R960" s="4"/>
    </row>
    <row r="961" ht="17.25" customHeight="1">
      <c r="Q961" s="3"/>
      <c r="R961" s="4"/>
    </row>
    <row r="962" ht="17.25" customHeight="1">
      <c r="Q962" s="3"/>
      <c r="R962" s="4"/>
    </row>
    <row r="963" ht="17.25" customHeight="1">
      <c r="Q963" s="3"/>
      <c r="R963" s="4"/>
    </row>
    <row r="964" ht="17.25" customHeight="1">
      <c r="Q964" s="3"/>
      <c r="R964" s="4"/>
    </row>
    <row r="965" ht="17.25" customHeight="1">
      <c r="Q965" s="3"/>
      <c r="R965" s="4"/>
    </row>
    <row r="966" ht="17.25" customHeight="1">
      <c r="Q966" s="3"/>
      <c r="R966" s="4"/>
    </row>
    <row r="967" ht="17.25" customHeight="1">
      <c r="Q967" s="3"/>
      <c r="R967" s="4"/>
    </row>
    <row r="968" ht="17.25" customHeight="1">
      <c r="Q968" s="3"/>
      <c r="R968" s="4"/>
    </row>
    <row r="969" ht="17.25" customHeight="1">
      <c r="Q969" s="3"/>
      <c r="R969" s="4"/>
    </row>
    <row r="970" ht="17.25" customHeight="1">
      <c r="Q970" s="3"/>
      <c r="R970" s="4"/>
    </row>
    <row r="971" ht="17.25" customHeight="1">
      <c r="Q971" s="3"/>
      <c r="R971" s="4"/>
    </row>
    <row r="972" ht="17.25" customHeight="1">
      <c r="Q972" s="3"/>
      <c r="R972" s="4"/>
    </row>
    <row r="973" ht="17.25" customHeight="1">
      <c r="Q973" s="3"/>
      <c r="R973" s="4"/>
    </row>
    <row r="974" ht="17.25" customHeight="1">
      <c r="Q974" s="3"/>
      <c r="R974" s="4"/>
    </row>
    <row r="975" ht="17.25" customHeight="1">
      <c r="Q975" s="3"/>
      <c r="R975" s="4"/>
    </row>
    <row r="976" ht="17.25" customHeight="1">
      <c r="Q976" s="3"/>
      <c r="R976" s="4"/>
    </row>
    <row r="977" ht="17.25" customHeight="1">
      <c r="Q977" s="3"/>
      <c r="R977" s="4"/>
    </row>
    <row r="978" ht="17.25" customHeight="1">
      <c r="Q978" s="3"/>
      <c r="R978" s="4"/>
    </row>
    <row r="979" ht="17.25" customHeight="1">
      <c r="Q979" s="3"/>
      <c r="R979" s="4"/>
    </row>
    <row r="980" ht="17.25" customHeight="1">
      <c r="Q980" s="3"/>
      <c r="R980" s="4"/>
    </row>
    <row r="981" ht="17.25" customHeight="1">
      <c r="Q981" s="3"/>
      <c r="R981" s="4"/>
    </row>
    <row r="982" ht="17.25" customHeight="1">
      <c r="Q982" s="3"/>
      <c r="R982" s="4"/>
    </row>
    <row r="983" ht="17.25" customHeight="1">
      <c r="Q983" s="3"/>
      <c r="R983" s="4"/>
    </row>
    <row r="984" ht="17.25" customHeight="1">
      <c r="Q984" s="3"/>
      <c r="R984" s="4"/>
    </row>
    <row r="985" ht="17.25" customHeight="1">
      <c r="Q985" s="3"/>
      <c r="R985" s="4"/>
    </row>
    <row r="986" ht="17.25" customHeight="1">
      <c r="Q986" s="3"/>
      <c r="R986" s="4"/>
    </row>
    <row r="987" ht="17.25" customHeight="1">
      <c r="Q987" s="3"/>
      <c r="R987" s="4"/>
    </row>
    <row r="988" ht="17.25" customHeight="1">
      <c r="Q988" s="3"/>
      <c r="R988" s="4"/>
    </row>
    <row r="989" ht="17.25" customHeight="1">
      <c r="Q989" s="3"/>
      <c r="R989" s="4"/>
    </row>
    <row r="990" ht="17.25" customHeight="1">
      <c r="Q990" s="3"/>
      <c r="R990" s="4"/>
    </row>
    <row r="991" ht="17.25" customHeight="1">
      <c r="Q991" s="3"/>
      <c r="R991" s="4"/>
    </row>
    <row r="992" ht="17.25" customHeight="1">
      <c r="Q992" s="3"/>
      <c r="R992" s="4"/>
    </row>
    <row r="993" ht="17.25" customHeight="1">
      <c r="Q993" s="3"/>
      <c r="R993" s="4"/>
    </row>
    <row r="994" ht="17.25" customHeight="1">
      <c r="Q994" s="3"/>
      <c r="R994" s="4"/>
    </row>
    <row r="995" ht="17.25" customHeight="1">
      <c r="Q995" s="3"/>
      <c r="R995" s="4"/>
    </row>
    <row r="996" ht="17.25" customHeight="1">
      <c r="Q996" s="3"/>
      <c r="R996" s="4"/>
    </row>
    <row r="997" ht="17.25" customHeight="1">
      <c r="Q997" s="3"/>
      <c r="R997" s="4"/>
    </row>
    <row r="998" ht="17.25" customHeight="1">
      <c r="Q998" s="3"/>
      <c r="R998" s="4"/>
    </row>
    <row r="999" ht="17.25" customHeight="1">
      <c r="Q999" s="3"/>
      <c r="R999" s="4"/>
    </row>
    <row r="1000" ht="17.25" customHeight="1">
      <c r="Q1000" s="3"/>
      <c r="R1000" s="4"/>
    </row>
  </sheetData>
  <autoFilter ref="$A$1:$W$4"/>
  <mergeCells count="1">
    <mergeCell ref="AB2:AB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1.43"/>
    <col customWidth="1" min="4" max="5" width="16.29"/>
    <col customWidth="1" min="6" max="16" width="8.71"/>
    <col customWidth="1" min="17" max="17" width="8.86"/>
    <col customWidth="1" min="18" max="18" width="14.14"/>
    <col customWidth="1" min="19" max="24" width="8.71"/>
    <col customWidth="1" min="25" max="25" width="34.14"/>
    <col customWidth="1" min="26" max="28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23</v>
      </c>
      <c r="B2" s="2">
        <v>45804.459340277775</v>
      </c>
      <c r="C2" s="2">
        <v>45804.459340277775</v>
      </c>
      <c r="D2" s="2">
        <v>45805.688310185185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28</v>
      </c>
      <c r="L2" s="1" t="s">
        <v>27</v>
      </c>
      <c r="M2" s="1">
        <v>12080.0</v>
      </c>
      <c r="N2" s="1" t="s">
        <v>29</v>
      </c>
      <c r="O2" s="1" t="s">
        <v>30</v>
      </c>
      <c r="P2" s="1" t="s">
        <v>31</v>
      </c>
      <c r="Q2" s="3">
        <v>1.0</v>
      </c>
      <c r="R2" s="4">
        <v>5.8906503241E11</v>
      </c>
      <c r="T2" s="1">
        <v>175000.0</v>
      </c>
      <c r="U2" s="1">
        <v>0.0</v>
      </c>
      <c r="V2" s="1">
        <v>0.0</v>
      </c>
      <c r="W2" s="1">
        <v>174100.0</v>
      </c>
      <c r="Y2" s="1" t="s">
        <v>113</v>
      </c>
      <c r="Z2" s="5">
        <f t="shared" ref="Z2:Z6" si="1">SUMIF($P$2:$P$583,Y2,$Q$2:$Q$583)</f>
        <v>1</v>
      </c>
      <c r="AA2" s="3">
        <f>Z2</f>
        <v>1</v>
      </c>
      <c r="AB2" s="6">
        <f>AA2+AA3+AA4+AA5</f>
        <v>17</v>
      </c>
    </row>
    <row r="3" ht="17.25" customHeight="1">
      <c r="A3" s="1" t="s">
        <v>23</v>
      </c>
      <c r="B3" s="2">
        <v>45804.461435185185</v>
      </c>
      <c r="C3" s="2">
        <v>45804.461435185185</v>
      </c>
      <c r="D3" s="2">
        <v>45805.688425925924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37</v>
      </c>
      <c r="M3" s="1">
        <v>42172.0</v>
      </c>
      <c r="N3" s="1" t="s">
        <v>38</v>
      </c>
      <c r="O3" s="1" t="s">
        <v>30</v>
      </c>
      <c r="P3" s="1" t="s">
        <v>31</v>
      </c>
      <c r="Q3" s="3">
        <v>2.0</v>
      </c>
      <c r="R3" s="4">
        <v>5.89065031496E11</v>
      </c>
      <c r="T3" s="1">
        <v>712000.0</v>
      </c>
      <c r="U3" s="1">
        <v>0.0</v>
      </c>
      <c r="V3" s="1">
        <v>0.0</v>
      </c>
      <c r="W3" s="1">
        <v>676400.0</v>
      </c>
      <c r="Y3" s="1" t="s">
        <v>54</v>
      </c>
      <c r="Z3" s="5">
        <f t="shared" si="1"/>
        <v>4</v>
      </c>
      <c r="AA3" s="3">
        <f>Z3*2</f>
        <v>8</v>
      </c>
    </row>
    <row r="4" ht="17.25" customHeight="1">
      <c r="A4" s="1" t="s">
        <v>23</v>
      </c>
      <c r="B4" s="2">
        <v>45804.461180555554</v>
      </c>
      <c r="C4" s="2">
        <v>45804.461180555554</v>
      </c>
      <c r="D4" s="2">
        <v>45805.68846064815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41</v>
      </c>
      <c r="K4" s="1" t="s">
        <v>42</v>
      </c>
      <c r="L4" s="1" t="s">
        <v>42</v>
      </c>
      <c r="M4" s="1">
        <v>10893.0</v>
      </c>
      <c r="N4" s="1" t="s">
        <v>43</v>
      </c>
      <c r="O4" s="1" t="s">
        <v>30</v>
      </c>
      <c r="P4" s="1" t="s">
        <v>31</v>
      </c>
      <c r="Q4" s="3">
        <v>1.0</v>
      </c>
      <c r="R4" s="4">
        <v>5.89065032535E11</v>
      </c>
      <c r="T4" s="1">
        <v>175000.0</v>
      </c>
      <c r="U4" s="1">
        <v>0.0</v>
      </c>
      <c r="V4" s="1">
        <v>0.0</v>
      </c>
      <c r="W4" s="1">
        <v>175000.0</v>
      </c>
      <c r="Y4" s="1" t="s">
        <v>314</v>
      </c>
      <c r="Z4" s="5">
        <f t="shared" si="1"/>
        <v>0</v>
      </c>
      <c r="AA4" s="3">
        <f>Z4*3</f>
        <v>0</v>
      </c>
    </row>
    <row r="5" ht="17.25" customHeight="1">
      <c r="A5" s="1" t="s">
        <v>23</v>
      </c>
      <c r="B5" s="2">
        <v>45804.4628125</v>
      </c>
      <c r="C5" s="2">
        <v>45804.4628125</v>
      </c>
      <c r="D5" s="2">
        <v>45805.68851851852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46</v>
      </c>
      <c r="K5" s="1" t="s">
        <v>47</v>
      </c>
      <c r="L5" s="1" t="s">
        <v>47</v>
      </c>
      <c r="M5" s="1">
        <v>7808.0</v>
      </c>
      <c r="N5" s="1" t="s">
        <v>48</v>
      </c>
      <c r="O5" s="1" t="s">
        <v>30</v>
      </c>
      <c r="P5" s="1" t="s">
        <v>31</v>
      </c>
      <c r="Q5" s="3">
        <v>1.0</v>
      </c>
      <c r="R5" s="4">
        <v>5.89065032395E11</v>
      </c>
      <c r="T5" s="1">
        <v>175000.0</v>
      </c>
      <c r="U5" s="1">
        <v>0.0</v>
      </c>
      <c r="V5" s="1">
        <v>0.0</v>
      </c>
      <c r="W5" s="1">
        <v>175000.0</v>
      </c>
      <c r="Y5" s="1" t="s">
        <v>153</v>
      </c>
      <c r="Z5" s="5">
        <f t="shared" si="1"/>
        <v>2</v>
      </c>
      <c r="AA5" s="3">
        <f>Z5*4</f>
        <v>8</v>
      </c>
    </row>
    <row r="6" ht="17.25" customHeight="1">
      <c r="A6" s="1" t="s">
        <v>23</v>
      </c>
      <c r="B6" s="2">
        <v>45804.463229166664</v>
      </c>
      <c r="C6" s="2">
        <v>45804.463229166664</v>
      </c>
      <c r="D6" s="2">
        <v>45805.69511574074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51</v>
      </c>
      <c r="K6" s="1" t="s">
        <v>52</v>
      </c>
      <c r="L6" s="1" t="s">
        <v>52</v>
      </c>
      <c r="M6" s="1">
        <v>16016.0</v>
      </c>
      <c r="N6" s="1" t="s">
        <v>53</v>
      </c>
      <c r="O6" s="1" t="s">
        <v>30</v>
      </c>
      <c r="P6" s="1" t="s">
        <v>54</v>
      </c>
      <c r="Q6" s="3">
        <v>1.0</v>
      </c>
      <c r="R6" s="4">
        <v>5.89065024146E11</v>
      </c>
      <c r="T6" s="1">
        <v>189000.0</v>
      </c>
      <c r="U6" s="1">
        <v>0.0</v>
      </c>
      <c r="V6" s="1">
        <v>0.0</v>
      </c>
      <c r="W6" s="1">
        <v>189000.0</v>
      </c>
      <c r="Y6" s="7" t="s">
        <v>31</v>
      </c>
      <c r="Z6" s="6">
        <f t="shared" si="1"/>
        <v>37</v>
      </c>
      <c r="AA6" s="3"/>
      <c r="AB6" s="3"/>
    </row>
    <row r="7" ht="17.25" customHeight="1">
      <c r="A7" s="1" t="s">
        <v>23</v>
      </c>
      <c r="B7" s="2">
        <v>45804.46633101852</v>
      </c>
      <c r="C7" s="2">
        <v>45804.46633101852</v>
      </c>
      <c r="D7" s="2">
        <v>45805.68859953704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57</v>
      </c>
      <c r="K7" s="1" t="s">
        <v>58</v>
      </c>
      <c r="L7" s="1" t="s">
        <v>58</v>
      </c>
      <c r="M7" s="1">
        <v>50534.0</v>
      </c>
      <c r="N7" s="1" t="s">
        <v>59</v>
      </c>
      <c r="O7" s="1" t="s">
        <v>30</v>
      </c>
      <c r="P7" s="1" t="s">
        <v>31</v>
      </c>
      <c r="Q7" s="3">
        <v>1.0</v>
      </c>
      <c r="R7" s="4">
        <v>5.89065032572E11</v>
      </c>
      <c r="T7" s="1">
        <v>175000.0</v>
      </c>
      <c r="U7" s="1">
        <v>0.0</v>
      </c>
      <c r="V7" s="1">
        <v>0.0</v>
      </c>
      <c r="W7" s="1">
        <v>175000.0</v>
      </c>
    </row>
    <row r="8" ht="17.25" customHeight="1">
      <c r="A8" s="1" t="s">
        <v>23</v>
      </c>
      <c r="B8" s="2">
        <v>45804.46828703704</v>
      </c>
      <c r="C8" s="2">
        <v>45804.46828703704</v>
      </c>
      <c r="D8" s="2">
        <v>45805.68865740741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62</v>
      </c>
      <c r="K8" s="1" t="s">
        <v>63</v>
      </c>
      <c r="L8" s="1" t="s">
        <v>63</v>
      </c>
      <c r="M8" s="1">
        <v>44920.0</v>
      </c>
      <c r="N8" s="1" t="s">
        <v>64</v>
      </c>
      <c r="O8" s="1" t="s">
        <v>30</v>
      </c>
      <c r="P8" s="1" t="s">
        <v>31</v>
      </c>
      <c r="Q8" s="3">
        <v>1.0</v>
      </c>
      <c r="R8" s="4">
        <v>5.89065032454E11</v>
      </c>
      <c r="T8" s="1">
        <v>175000.0</v>
      </c>
      <c r="U8" s="1">
        <v>0.0</v>
      </c>
      <c r="V8" s="1">
        <v>0.0</v>
      </c>
      <c r="W8" s="1">
        <v>175000.0</v>
      </c>
    </row>
    <row r="9" ht="17.25" customHeight="1">
      <c r="A9" s="1" t="s">
        <v>23</v>
      </c>
      <c r="B9" s="2">
        <v>45804.47314814815</v>
      </c>
      <c r="C9" s="2">
        <v>45804.47314814815</v>
      </c>
      <c r="D9" s="2">
        <v>45805.688738425924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>
        <v>30083.0</v>
      </c>
      <c r="N9" s="1" t="s">
        <v>72</v>
      </c>
      <c r="O9" s="1" t="s">
        <v>30</v>
      </c>
      <c r="P9" s="1" t="s">
        <v>31</v>
      </c>
      <c r="Q9" s="3">
        <v>1.0</v>
      </c>
      <c r="R9" s="4">
        <v>5.89065032465E11</v>
      </c>
      <c r="T9" s="1">
        <v>175000.0</v>
      </c>
      <c r="U9" s="1">
        <v>0.0</v>
      </c>
      <c r="V9" s="1">
        <v>0.0</v>
      </c>
      <c r="W9" s="1">
        <v>175000.0</v>
      </c>
    </row>
    <row r="10" ht="17.25" customHeight="1">
      <c r="A10" s="1" t="s">
        <v>23</v>
      </c>
      <c r="B10" s="2">
        <v>45804.473958333336</v>
      </c>
      <c r="C10" s="2">
        <v>45804.473958333336</v>
      </c>
      <c r="D10" s="2">
        <v>45805.68875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75</v>
      </c>
      <c r="K10" s="1" t="s">
        <v>76</v>
      </c>
      <c r="L10" s="1" t="s">
        <v>76</v>
      </c>
      <c r="M10" s="1">
        <v>16711.0</v>
      </c>
      <c r="N10" s="1" t="s">
        <v>77</v>
      </c>
      <c r="O10" s="1" t="s">
        <v>30</v>
      </c>
      <c r="P10" s="1" t="s">
        <v>31</v>
      </c>
      <c r="Q10" s="3">
        <v>1.0</v>
      </c>
      <c r="R10" s="4">
        <v>5.89065032373E11</v>
      </c>
      <c r="T10" s="1">
        <v>175000.0</v>
      </c>
      <c r="U10" s="1">
        <v>0.0</v>
      </c>
      <c r="V10" s="1">
        <v>0.0</v>
      </c>
      <c r="W10" s="1">
        <v>175000.0</v>
      </c>
    </row>
    <row r="11" ht="17.25" customHeight="1">
      <c r="A11" s="1" t="s">
        <v>23</v>
      </c>
      <c r="B11" s="2">
        <v>45804.4765625</v>
      </c>
      <c r="C11" s="2">
        <v>45804.48180555556</v>
      </c>
      <c r="D11" s="2">
        <v>45805.688784722224</v>
      </c>
      <c r="F11" s="1" t="s">
        <v>78</v>
      </c>
      <c r="G11" s="1" t="s">
        <v>79</v>
      </c>
      <c r="H11" s="1" t="s">
        <v>80</v>
      </c>
      <c r="I11" s="1" t="s">
        <v>81</v>
      </c>
      <c r="J11" s="1" t="s">
        <v>80</v>
      </c>
      <c r="K11" s="1" t="s">
        <v>82</v>
      </c>
      <c r="L11" s="1" t="s">
        <v>81</v>
      </c>
      <c r="M11" s="1">
        <v>14072.0</v>
      </c>
      <c r="N11" s="1" t="s">
        <v>83</v>
      </c>
      <c r="O11" s="1" t="s">
        <v>30</v>
      </c>
      <c r="P11" s="1" t="s">
        <v>31</v>
      </c>
      <c r="Q11" s="3">
        <v>1.0</v>
      </c>
      <c r="R11" s="4">
        <v>5.8906503248E11</v>
      </c>
      <c r="T11" s="1">
        <v>175000.0</v>
      </c>
      <c r="U11" s="1">
        <v>0.0</v>
      </c>
      <c r="V11" s="1">
        <v>0.0</v>
      </c>
      <c r="W11" s="1">
        <v>175000.0</v>
      </c>
    </row>
    <row r="12" ht="17.25" customHeight="1">
      <c r="A12" s="1" t="s">
        <v>23</v>
      </c>
      <c r="B12" s="2">
        <v>45804.480416666665</v>
      </c>
      <c r="C12" s="2">
        <v>45804.480416666665</v>
      </c>
      <c r="D12" s="2">
        <v>45805.68881944445</v>
      </c>
      <c r="F12" s="1" t="s">
        <v>84</v>
      </c>
      <c r="G12" s="1" t="s">
        <v>85</v>
      </c>
      <c r="H12" s="1" t="s">
        <v>86</v>
      </c>
      <c r="I12" s="1" t="s">
        <v>87</v>
      </c>
      <c r="J12" s="1" t="s">
        <v>86</v>
      </c>
      <c r="K12" s="1" t="s">
        <v>87</v>
      </c>
      <c r="L12" s="1" t="s">
        <v>87</v>
      </c>
      <c r="M12" s="1">
        <v>48530.0</v>
      </c>
      <c r="N12" s="1" t="s">
        <v>88</v>
      </c>
      <c r="O12" s="1" t="s">
        <v>30</v>
      </c>
      <c r="P12" s="1" t="s">
        <v>31</v>
      </c>
      <c r="Q12" s="3">
        <v>1.0</v>
      </c>
      <c r="R12" s="4">
        <v>5.89065032605E11</v>
      </c>
      <c r="T12" s="1">
        <v>175000.0</v>
      </c>
      <c r="U12" s="1">
        <v>0.0</v>
      </c>
      <c r="V12" s="1">
        <v>0.0</v>
      </c>
      <c r="W12" s="1">
        <v>175000.0</v>
      </c>
    </row>
    <row r="13" ht="17.25" customHeight="1">
      <c r="A13" s="1" t="s">
        <v>23</v>
      </c>
      <c r="B13" s="2">
        <v>45804.48193287037</v>
      </c>
      <c r="C13" s="2">
        <v>45804.48193287037</v>
      </c>
      <c r="D13" s="2">
        <v>45805.68884259259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91</v>
      </c>
      <c r="K13" s="1" t="s">
        <v>92</v>
      </c>
      <c r="L13" s="1" t="s">
        <v>92</v>
      </c>
      <c r="M13" s="1">
        <v>37119.0</v>
      </c>
      <c r="N13" s="1" t="s">
        <v>93</v>
      </c>
      <c r="O13" s="1" t="s">
        <v>30</v>
      </c>
      <c r="P13" s="1" t="s">
        <v>54</v>
      </c>
      <c r="Q13" s="3">
        <v>1.0</v>
      </c>
      <c r="R13" s="4">
        <v>5.89065032745E11</v>
      </c>
      <c r="T13" s="1">
        <v>180000.0</v>
      </c>
      <c r="U13" s="1">
        <v>0.0</v>
      </c>
      <c r="V13" s="1">
        <v>0.0</v>
      </c>
      <c r="W13" s="1">
        <v>180000.0</v>
      </c>
    </row>
    <row r="14" ht="17.25" customHeight="1">
      <c r="A14" s="1" t="s">
        <v>23</v>
      </c>
      <c r="B14" s="2">
        <v>45804.49251157408</v>
      </c>
      <c r="C14" s="2">
        <v>45804.49251157408</v>
      </c>
      <c r="D14" s="2">
        <v>45805.68890046296</v>
      </c>
      <c r="F14" s="1" t="s">
        <v>101</v>
      </c>
      <c r="G14" s="1" t="s">
        <v>102</v>
      </c>
      <c r="H14" s="1" t="s">
        <v>103</v>
      </c>
      <c r="I14" s="1" t="s">
        <v>104</v>
      </c>
      <c r="J14" s="1" t="s">
        <v>103</v>
      </c>
      <c r="K14" s="1" t="s">
        <v>104</v>
      </c>
      <c r="L14" s="1" t="s">
        <v>104</v>
      </c>
      <c r="M14" s="1">
        <v>4024.0</v>
      </c>
      <c r="N14" s="1" t="s">
        <v>105</v>
      </c>
      <c r="O14" s="1" t="s">
        <v>30</v>
      </c>
      <c r="P14" s="1" t="s">
        <v>31</v>
      </c>
      <c r="Q14" s="3">
        <v>1.0</v>
      </c>
      <c r="R14" s="4">
        <v>5.89065032502E11</v>
      </c>
      <c r="T14" s="1">
        <v>175000.0</v>
      </c>
      <c r="U14" s="1">
        <v>0.0</v>
      </c>
      <c r="V14" s="1">
        <v>0.0</v>
      </c>
      <c r="W14" s="1">
        <v>175000.0</v>
      </c>
    </row>
    <row r="15" ht="17.25" customHeight="1">
      <c r="A15" s="1" t="s">
        <v>23</v>
      </c>
      <c r="B15" s="2">
        <v>45804.495</v>
      </c>
      <c r="C15" s="2">
        <v>45804.495</v>
      </c>
      <c r="D15" s="2">
        <v>45805.68891203704</v>
      </c>
      <c r="F15" s="1" t="s">
        <v>106</v>
      </c>
      <c r="G15" s="1" t="s">
        <v>107</v>
      </c>
      <c r="H15" s="1" t="s">
        <v>108</v>
      </c>
      <c r="I15" s="1" t="s">
        <v>109</v>
      </c>
      <c r="J15" s="1" t="s">
        <v>110</v>
      </c>
      <c r="K15" s="1" t="s">
        <v>111</v>
      </c>
      <c r="L15" s="1" t="s">
        <v>109</v>
      </c>
      <c r="M15" s="1">
        <v>13010.0</v>
      </c>
      <c r="N15" s="1" t="s">
        <v>112</v>
      </c>
      <c r="O15" s="1" t="s">
        <v>30</v>
      </c>
      <c r="P15" s="1" t="s">
        <v>113</v>
      </c>
      <c r="Q15" s="3">
        <v>1.0</v>
      </c>
      <c r="R15" s="4">
        <v>5.89065033482E11</v>
      </c>
      <c r="T15" s="1">
        <v>38000.0</v>
      </c>
      <c r="U15" s="1">
        <v>0.0</v>
      </c>
      <c r="V15" s="1">
        <v>3000.0</v>
      </c>
      <c r="W15" s="1">
        <v>38800.0</v>
      </c>
    </row>
    <row r="16" ht="17.25" customHeight="1">
      <c r="A16" s="1" t="s">
        <v>23</v>
      </c>
      <c r="B16" s="2">
        <v>45804.50164351852</v>
      </c>
      <c r="C16" s="2">
        <v>45804.50164351852</v>
      </c>
      <c r="D16" s="2">
        <v>45805.68896990741</v>
      </c>
      <c r="F16" s="1" t="s">
        <v>114</v>
      </c>
      <c r="G16" s="1" t="s">
        <v>115</v>
      </c>
      <c r="H16" s="1" t="s">
        <v>116</v>
      </c>
      <c r="I16" s="1" t="s">
        <v>117</v>
      </c>
      <c r="J16" s="1" t="s">
        <v>116</v>
      </c>
      <c r="K16" s="1" t="s">
        <v>117</v>
      </c>
      <c r="L16" s="1" t="s">
        <v>117</v>
      </c>
      <c r="M16" s="1">
        <v>18034.0</v>
      </c>
      <c r="N16" s="1" t="s">
        <v>118</v>
      </c>
      <c r="O16" s="1" t="s">
        <v>30</v>
      </c>
      <c r="P16" s="1" t="s">
        <v>31</v>
      </c>
      <c r="Q16" s="3">
        <v>1.0</v>
      </c>
      <c r="R16" s="4">
        <v>5.89065032491E11</v>
      </c>
      <c r="T16" s="1">
        <v>175000.0</v>
      </c>
      <c r="U16" s="1">
        <v>0.0</v>
      </c>
      <c r="V16" s="1">
        <v>0.0</v>
      </c>
      <c r="W16" s="1">
        <v>175000.0</v>
      </c>
    </row>
    <row r="17" ht="17.25" customHeight="1">
      <c r="A17" s="1" t="s">
        <v>23</v>
      </c>
      <c r="B17" s="2">
        <v>45804.51366898148</v>
      </c>
      <c r="C17" s="2">
        <v>45804.51366898148</v>
      </c>
      <c r="D17" s="2">
        <v>45805.6890625</v>
      </c>
      <c r="F17" s="1" t="s">
        <v>119</v>
      </c>
      <c r="G17" s="1" t="s">
        <v>120</v>
      </c>
      <c r="H17" s="1" t="s">
        <v>121</v>
      </c>
      <c r="I17" s="1" t="s">
        <v>122</v>
      </c>
      <c r="J17" s="1" t="s">
        <v>121</v>
      </c>
      <c r="K17" s="1" t="s">
        <v>122</v>
      </c>
      <c r="L17" s="1" t="s">
        <v>122</v>
      </c>
      <c r="M17" s="1">
        <v>25909.0</v>
      </c>
      <c r="N17" s="1" t="s">
        <v>123</v>
      </c>
      <c r="O17" s="1" t="s">
        <v>30</v>
      </c>
      <c r="P17" s="1" t="s">
        <v>31</v>
      </c>
      <c r="Q17" s="3">
        <v>1.0</v>
      </c>
      <c r="R17" s="4">
        <v>5.89065032421E11</v>
      </c>
      <c r="T17" s="1">
        <v>175000.0</v>
      </c>
      <c r="U17" s="1">
        <v>0.0</v>
      </c>
      <c r="V17" s="1">
        <v>0.0</v>
      </c>
      <c r="W17" s="1">
        <v>175000.0</v>
      </c>
    </row>
    <row r="18" ht="17.25" customHeight="1">
      <c r="A18" s="1" t="s">
        <v>23</v>
      </c>
      <c r="B18" s="2">
        <v>45804.51732638889</v>
      </c>
      <c r="C18" s="2">
        <v>45804.51732638889</v>
      </c>
      <c r="D18" s="2">
        <v>45805.68907407407</v>
      </c>
      <c r="F18" s="1" t="s">
        <v>124</v>
      </c>
      <c r="G18" s="1" t="s">
        <v>125</v>
      </c>
      <c r="H18" s="1" t="s">
        <v>126</v>
      </c>
      <c r="I18" s="1" t="s">
        <v>127</v>
      </c>
      <c r="J18" s="1" t="s">
        <v>126</v>
      </c>
      <c r="K18" s="1" t="s">
        <v>128</v>
      </c>
      <c r="L18" s="1" t="s">
        <v>127</v>
      </c>
      <c r="M18" s="1">
        <v>7039.0</v>
      </c>
      <c r="N18" s="1" t="s">
        <v>129</v>
      </c>
      <c r="O18" s="1" t="s">
        <v>30</v>
      </c>
      <c r="P18" s="1" t="s">
        <v>31</v>
      </c>
      <c r="Q18" s="3">
        <v>1.0</v>
      </c>
      <c r="R18" s="4">
        <v>5.89065032443E11</v>
      </c>
      <c r="T18" s="1">
        <v>175000.0</v>
      </c>
      <c r="U18" s="1">
        <v>0.0</v>
      </c>
      <c r="V18" s="1">
        <v>0.0</v>
      </c>
      <c r="W18" s="1">
        <v>175000.0</v>
      </c>
    </row>
    <row r="19" ht="17.25" customHeight="1">
      <c r="A19" s="1" t="s">
        <v>23</v>
      </c>
      <c r="B19" s="2">
        <v>45804.53685185185</v>
      </c>
      <c r="C19" s="2">
        <v>45804.53685185185</v>
      </c>
      <c r="D19" s="2">
        <v>45805.69513888889</v>
      </c>
      <c r="F19" s="1" t="s">
        <v>137</v>
      </c>
      <c r="G19" s="1" t="s">
        <v>138</v>
      </c>
      <c r="H19" s="1" t="s">
        <v>139</v>
      </c>
      <c r="I19" s="1" t="s">
        <v>140</v>
      </c>
      <c r="J19" s="1" t="s">
        <v>139</v>
      </c>
      <c r="K19" s="1" t="s">
        <v>140</v>
      </c>
      <c r="L19" s="1" t="s">
        <v>140</v>
      </c>
      <c r="M19" s="1">
        <v>41550.0</v>
      </c>
      <c r="N19" s="1" t="s">
        <v>141</v>
      </c>
      <c r="O19" s="1" t="s">
        <v>30</v>
      </c>
      <c r="P19" s="1" t="s">
        <v>31</v>
      </c>
      <c r="Q19" s="3">
        <v>1.0</v>
      </c>
      <c r="R19" s="4">
        <v>5.89065023866E11</v>
      </c>
      <c r="T19" s="1">
        <v>350000.0</v>
      </c>
      <c r="U19" s="1">
        <v>0.0</v>
      </c>
      <c r="V19" s="1">
        <v>0.0</v>
      </c>
      <c r="W19" s="1">
        <v>350000.0</v>
      </c>
    </row>
    <row r="20" ht="17.25" customHeight="1">
      <c r="A20" s="1" t="s">
        <v>23</v>
      </c>
      <c r="B20" s="2">
        <v>45804.53875</v>
      </c>
      <c r="C20" s="2">
        <v>45804.53875</v>
      </c>
      <c r="D20" s="2">
        <v>45805.689155092594</v>
      </c>
      <c r="F20" s="1" t="s">
        <v>142</v>
      </c>
      <c r="G20" s="1" t="s">
        <v>143</v>
      </c>
      <c r="H20" s="1" t="s">
        <v>144</v>
      </c>
      <c r="I20" s="1" t="s">
        <v>145</v>
      </c>
      <c r="J20" s="1" t="s">
        <v>144</v>
      </c>
      <c r="K20" s="1" t="s">
        <v>145</v>
      </c>
      <c r="L20" s="1" t="s">
        <v>145</v>
      </c>
      <c r="M20" s="1">
        <v>50575.0</v>
      </c>
      <c r="N20" s="1" t="s">
        <v>146</v>
      </c>
      <c r="O20" s="1" t="s">
        <v>30</v>
      </c>
      <c r="P20" s="1" t="s">
        <v>31</v>
      </c>
      <c r="Q20" s="3">
        <v>1.0</v>
      </c>
      <c r="R20" s="4">
        <v>5.8906503255E11</v>
      </c>
      <c r="T20" s="1">
        <v>175000.0</v>
      </c>
      <c r="U20" s="1">
        <v>0.0</v>
      </c>
      <c r="V20" s="1">
        <v>0.0</v>
      </c>
      <c r="W20" s="1">
        <v>175000.0</v>
      </c>
    </row>
    <row r="21" ht="17.25" customHeight="1">
      <c r="A21" s="1" t="s">
        <v>23</v>
      </c>
      <c r="B21" s="2">
        <v>45804.5565625</v>
      </c>
      <c r="C21" s="2">
        <v>45804.6358912037</v>
      </c>
      <c r="D21" s="2">
        <v>45805.69802083333</v>
      </c>
      <c r="F21" s="1" t="s">
        <v>147</v>
      </c>
      <c r="G21" s="1" t="s">
        <v>148</v>
      </c>
      <c r="H21" s="1" t="s">
        <v>149</v>
      </c>
      <c r="I21" s="1" t="s">
        <v>150</v>
      </c>
      <c r="J21" s="1" t="s">
        <v>149</v>
      </c>
      <c r="K21" s="1" t="s">
        <v>151</v>
      </c>
      <c r="L21" s="1" t="s">
        <v>150</v>
      </c>
      <c r="M21" s="1">
        <v>16850.0</v>
      </c>
      <c r="N21" s="1" t="s">
        <v>152</v>
      </c>
      <c r="O21" s="1" t="s">
        <v>30</v>
      </c>
      <c r="P21" s="1" t="s">
        <v>153</v>
      </c>
      <c r="Q21" s="3">
        <v>1.0</v>
      </c>
      <c r="R21" s="4">
        <v>5.89065024102E11</v>
      </c>
      <c r="T21" s="1">
        <v>288000.0</v>
      </c>
      <c r="U21" s="1">
        <v>0.0</v>
      </c>
      <c r="V21" s="1">
        <v>0.0</v>
      </c>
      <c r="W21" s="1">
        <v>288000.0</v>
      </c>
    </row>
    <row r="22" ht="17.25" customHeight="1">
      <c r="A22" s="1" t="s">
        <v>23</v>
      </c>
      <c r="B22" s="2">
        <v>45804.56193287037</v>
      </c>
      <c r="C22" s="2">
        <v>45804.56193287037</v>
      </c>
      <c r="D22" s="2">
        <v>45805.68922453704</v>
      </c>
      <c r="F22" s="1" t="s">
        <v>154</v>
      </c>
      <c r="G22" s="1" t="s">
        <v>155</v>
      </c>
      <c r="H22" s="1" t="s">
        <v>156</v>
      </c>
      <c r="I22" s="1" t="s">
        <v>157</v>
      </c>
      <c r="J22" s="1" t="s">
        <v>156</v>
      </c>
      <c r="K22" s="1" t="s">
        <v>158</v>
      </c>
      <c r="L22" s="1" t="s">
        <v>157</v>
      </c>
      <c r="M22" s="1">
        <v>16547.0</v>
      </c>
      <c r="N22" s="1" t="s">
        <v>159</v>
      </c>
      <c r="O22" s="1" t="s">
        <v>30</v>
      </c>
      <c r="P22" s="1" t="s">
        <v>54</v>
      </c>
      <c r="Q22" s="3">
        <v>1.0</v>
      </c>
      <c r="R22" s="4">
        <v>5.89065033272E11</v>
      </c>
      <c r="T22" s="1">
        <v>75000.0</v>
      </c>
      <c r="U22" s="1">
        <v>0.0</v>
      </c>
      <c r="V22" s="1">
        <v>0.0</v>
      </c>
      <c r="W22" s="1">
        <v>75000.0</v>
      </c>
    </row>
    <row r="23" ht="17.25" customHeight="1">
      <c r="A23" s="1" t="s">
        <v>23</v>
      </c>
      <c r="B23" s="2">
        <v>45804.61739583333</v>
      </c>
      <c r="C23" s="2">
        <v>45804.61739583333</v>
      </c>
      <c r="D23" s="2">
        <v>45805.68934027778</v>
      </c>
      <c r="F23" s="1" t="s">
        <v>160</v>
      </c>
      <c r="G23" s="1" t="s">
        <v>161</v>
      </c>
      <c r="H23" s="1" t="s">
        <v>162</v>
      </c>
      <c r="I23" s="1" t="s">
        <v>163</v>
      </c>
      <c r="J23" s="1" t="s">
        <v>162</v>
      </c>
      <c r="K23" s="1" t="s">
        <v>163</v>
      </c>
      <c r="L23" s="1" t="s">
        <v>163</v>
      </c>
      <c r="M23" s="1">
        <v>58244.0</v>
      </c>
      <c r="N23" s="1" t="s">
        <v>164</v>
      </c>
      <c r="O23" s="1" t="s">
        <v>30</v>
      </c>
      <c r="P23" s="1" t="s">
        <v>31</v>
      </c>
      <c r="Q23" s="3">
        <v>1.0</v>
      </c>
      <c r="R23" s="4">
        <v>5.89065032546E11</v>
      </c>
      <c r="T23" s="1">
        <v>356000.0</v>
      </c>
      <c r="U23" s="1">
        <v>0.0</v>
      </c>
      <c r="V23" s="1">
        <v>0.0</v>
      </c>
      <c r="W23" s="1">
        <v>356000.0</v>
      </c>
    </row>
    <row r="24" ht="17.25" customHeight="1">
      <c r="A24" s="1" t="s">
        <v>23</v>
      </c>
      <c r="B24" s="2">
        <v>45804.676203703704</v>
      </c>
      <c r="C24" s="2">
        <v>45804.676203703704</v>
      </c>
      <c r="D24" s="2">
        <v>45805.68943287037</v>
      </c>
      <c r="F24" s="1" t="s">
        <v>165</v>
      </c>
      <c r="G24" s="1" t="s">
        <v>166</v>
      </c>
      <c r="H24" s="1" t="s">
        <v>167</v>
      </c>
      <c r="I24" s="1" t="s">
        <v>168</v>
      </c>
      <c r="J24" s="1" t="s">
        <v>167</v>
      </c>
      <c r="K24" s="1" t="s">
        <v>169</v>
      </c>
      <c r="L24" s="1" t="s">
        <v>168</v>
      </c>
      <c r="M24" s="1">
        <v>8083.0</v>
      </c>
      <c r="N24" s="1" t="s">
        <v>170</v>
      </c>
      <c r="O24" s="1" t="s">
        <v>30</v>
      </c>
      <c r="P24" s="1" t="s">
        <v>31</v>
      </c>
      <c r="Q24" s="3">
        <v>1.0</v>
      </c>
      <c r="R24" s="4">
        <v>5.89065032476E11</v>
      </c>
      <c r="T24" s="1">
        <v>175000.0</v>
      </c>
      <c r="U24" s="1">
        <v>0.0</v>
      </c>
      <c r="V24" s="1">
        <v>0.0</v>
      </c>
      <c r="W24" s="1">
        <v>175000.0</v>
      </c>
    </row>
    <row r="25" ht="17.25" customHeight="1">
      <c r="A25" s="1" t="s">
        <v>23</v>
      </c>
      <c r="B25" s="2">
        <v>45804.754699074074</v>
      </c>
      <c r="C25" s="2">
        <v>45804.754699074074</v>
      </c>
      <c r="D25" s="2">
        <v>45805.689571759256</v>
      </c>
      <c r="F25" s="1" t="s">
        <v>171</v>
      </c>
      <c r="G25" s="1" t="s">
        <v>172</v>
      </c>
      <c r="H25" s="1" t="s">
        <v>173</v>
      </c>
      <c r="I25" s="1" t="s">
        <v>174</v>
      </c>
      <c r="J25" s="1" t="s">
        <v>173</v>
      </c>
      <c r="K25" s="1" t="s">
        <v>175</v>
      </c>
      <c r="L25" s="1" t="s">
        <v>174</v>
      </c>
      <c r="M25" s="1">
        <v>10543.0</v>
      </c>
      <c r="N25" s="1" t="s">
        <v>176</v>
      </c>
      <c r="O25" s="1" t="s">
        <v>30</v>
      </c>
      <c r="P25" s="1" t="s">
        <v>31</v>
      </c>
      <c r="Q25" s="3">
        <v>1.0</v>
      </c>
      <c r="R25" s="4">
        <v>5.89065026946E11</v>
      </c>
      <c r="T25" s="1">
        <v>491000.0</v>
      </c>
      <c r="U25" s="1">
        <v>0.0</v>
      </c>
      <c r="V25" s="1">
        <v>0.0</v>
      </c>
      <c r="W25" s="1">
        <v>491000.0</v>
      </c>
    </row>
    <row r="26" ht="17.25" customHeight="1">
      <c r="A26" s="1" t="s">
        <v>23</v>
      </c>
      <c r="B26" s="2">
        <v>45804.836747685185</v>
      </c>
      <c r="C26" s="2">
        <v>45804.836747685185</v>
      </c>
      <c r="D26" s="2">
        <v>45805.68971064815</v>
      </c>
      <c r="F26" s="1" t="s">
        <v>177</v>
      </c>
      <c r="G26" s="1" t="s">
        <v>178</v>
      </c>
      <c r="H26" s="1" t="s">
        <v>179</v>
      </c>
      <c r="I26" s="1" t="s">
        <v>180</v>
      </c>
      <c r="J26" s="1" t="s">
        <v>179</v>
      </c>
      <c r="K26" s="1" t="s">
        <v>180</v>
      </c>
      <c r="L26" s="1" t="s">
        <v>180</v>
      </c>
      <c r="M26" s="1">
        <v>10410.0</v>
      </c>
      <c r="N26" s="1" t="s">
        <v>181</v>
      </c>
      <c r="O26" s="1" t="s">
        <v>30</v>
      </c>
      <c r="P26" s="1" t="s">
        <v>31</v>
      </c>
      <c r="Q26" s="3">
        <v>1.0</v>
      </c>
      <c r="R26" s="4">
        <v>5.89065032981E11</v>
      </c>
      <c r="T26" s="1">
        <v>259000.0</v>
      </c>
      <c r="U26" s="1">
        <v>0.0</v>
      </c>
      <c r="V26" s="1">
        <v>0.0</v>
      </c>
      <c r="W26" s="1">
        <v>259000.0</v>
      </c>
    </row>
    <row r="27" ht="17.25" customHeight="1">
      <c r="A27" s="1" t="s">
        <v>23</v>
      </c>
      <c r="B27" s="2">
        <v>45804.85319444445</v>
      </c>
      <c r="C27" s="2">
        <v>45804.85319444445</v>
      </c>
      <c r="D27" s="2">
        <v>45805.689733796295</v>
      </c>
      <c r="F27" s="1" t="s">
        <v>182</v>
      </c>
      <c r="G27" s="1" t="s">
        <v>183</v>
      </c>
      <c r="H27" s="1" t="s">
        <v>184</v>
      </c>
      <c r="I27" s="1" t="s">
        <v>185</v>
      </c>
      <c r="J27" s="1" t="s">
        <v>184</v>
      </c>
      <c r="K27" s="1" t="s">
        <v>185</v>
      </c>
      <c r="L27" s="1" t="s">
        <v>185</v>
      </c>
      <c r="M27" s="1">
        <v>13589.0</v>
      </c>
      <c r="N27" s="1" t="s">
        <v>186</v>
      </c>
      <c r="O27" s="1" t="s">
        <v>30</v>
      </c>
      <c r="P27" s="1" t="s">
        <v>153</v>
      </c>
      <c r="Q27" s="3">
        <v>1.0</v>
      </c>
      <c r="R27" s="4">
        <v>5.89065032734E11</v>
      </c>
      <c r="T27" s="1">
        <v>220000.0</v>
      </c>
      <c r="U27" s="1">
        <v>0.0</v>
      </c>
      <c r="V27" s="1">
        <v>0.0</v>
      </c>
      <c r="W27" s="1">
        <v>220000.0</v>
      </c>
    </row>
    <row r="28" ht="17.25" customHeight="1">
      <c r="A28" s="1" t="s">
        <v>130</v>
      </c>
      <c r="B28" s="2">
        <v>45804.8858912037</v>
      </c>
      <c r="C28" s="2">
        <v>45805.41601851852</v>
      </c>
      <c r="D28" s="2">
        <v>45807.38818287037</v>
      </c>
      <c r="F28" s="1" t="s">
        <v>187</v>
      </c>
      <c r="G28" s="1" t="s">
        <v>188</v>
      </c>
      <c r="H28" s="1" t="s">
        <v>189</v>
      </c>
      <c r="I28" s="1" t="s">
        <v>190</v>
      </c>
      <c r="J28" s="1" t="s">
        <v>189</v>
      </c>
      <c r="K28" s="1" t="s">
        <v>191</v>
      </c>
      <c r="L28" s="1" t="s">
        <v>190</v>
      </c>
      <c r="M28" s="1">
        <v>7228.0</v>
      </c>
      <c r="N28" s="1" t="s">
        <v>192</v>
      </c>
      <c r="O28" s="1" t="s">
        <v>30</v>
      </c>
      <c r="P28" s="1" t="s">
        <v>54</v>
      </c>
      <c r="Q28" s="3">
        <v>1.0</v>
      </c>
      <c r="R28" s="4">
        <v>5.89065053093E11</v>
      </c>
      <c r="T28" s="1">
        <v>151000.0</v>
      </c>
      <c r="U28" s="1">
        <v>0.0</v>
      </c>
      <c r="V28" s="1">
        <v>0.0</v>
      </c>
      <c r="W28" s="1">
        <v>151000.0</v>
      </c>
    </row>
    <row r="29" ht="17.25" customHeight="1">
      <c r="A29" s="1" t="s">
        <v>23</v>
      </c>
      <c r="B29" s="2">
        <v>45804.90414351852</v>
      </c>
      <c r="C29" s="2">
        <v>45804.90414351852</v>
      </c>
      <c r="D29" s="2">
        <v>45805.68984953704</v>
      </c>
      <c r="F29" s="1" t="s">
        <v>193</v>
      </c>
      <c r="G29" s="1" t="s">
        <v>194</v>
      </c>
      <c r="H29" s="1" t="s">
        <v>195</v>
      </c>
      <c r="I29" s="1" t="s">
        <v>196</v>
      </c>
      <c r="J29" s="1" t="s">
        <v>195</v>
      </c>
      <c r="K29" s="1" t="s">
        <v>197</v>
      </c>
      <c r="L29" s="1" t="s">
        <v>196</v>
      </c>
      <c r="M29" s="1">
        <v>42811.0</v>
      </c>
      <c r="N29" s="1" t="s">
        <v>198</v>
      </c>
      <c r="O29" s="1" t="s">
        <v>30</v>
      </c>
      <c r="P29" s="1" t="s">
        <v>31</v>
      </c>
      <c r="Q29" s="3">
        <v>1.0</v>
      </c>
      <c r="R29" s="4">
        <v>5.89065032524E11</v>
      </c>
      <c r="T29" s="1">
        <v>175000.0</v>
      </c>
      <c r="U29" s="1">
        <v>0.0</v>
      </c>
      <c r="V29" s="1">
        <v>0.0</v>
      </c>
      <c r="W29" s="1">
        <v>173500.0</v>
      </c>
    </row>
    <row r="30" ht="17.25" customHeight="1">
      <c r="A30" s="1" t="s">
        <v>23</v>
      </c>
      <c r="B30" s="2">
        <v>45804.94658564815</v>
      </c>
      <c r="C30" s="2">
        <v>45804.94658564815</v>
      </c>
      <c r="D30" s="2">
        <v>45805.689930555556</v>
      </c>
      <c r="F30" s="1" t="s">
        <v>199</v>
      </c>
      <c r="G30" s="1" t="s">
        <v>200</v>
      </c>
      <c r="H30" s="1" t="s">
        <v>201</v>
      </c>
      <c r="I30" s="1" t="s">
        <v>202</v>
      </c>
      <c r="J30" s="1" t="s">
        <v>201</v>
      </c>
      <c r="K30" s="1" t="s">
        <v>202</v>
      </c>
      <c r="L30" s="1" t="s">
        <v>202</v>
      </c>
      <c r="M30" s="1">
        <v>42653.0</v>
      </c>
      <c r="N30" s="1" t="s">
        <v>203</v>
      </c>
      <c r="O30" s="1" t="s">
        <v>30</v>
      </c>
      <c r="P30" s="1" t="s">
        <v>31</v>
      </c>
      <c r="Q30" s="3">
        <v>1.0</v>
      </c>
      <c r="R30" s="4">
        <v>5.89065032583E11</v>
      </c>
      <c r="T30" s="1">
        <v>175000.0</v>
      </c>
      <c r="U30" s="1">
        <v>0.0</v>
      </c>
      <c r="V30" s="1">
        <v>0.0</v>
      </c>
      <c r="W30" s="1">
        <v>175000.0</v>
      </c>
    </row>
    <row r="31" ht="17.25" customHeight="1">
      <c r="A31" s="1" t="s">
        <v>23</v>
      </c>
      <c r="B31" s="2">
        <v>45804.963784722226</v>
      </c>
      <c r="C31" s="2">
        <v>45804.963784722226</v>
      </c>
      <c r="D31" s="2">
        <v>45805.68996527778</v>
      </c>
      <c r="F31" s="1" t="s">
        <v>204</v>
      </c>
      <c r="G31" s="1" t="s">
        <v>205</v>
      </c>
      <c r="H31" s="1" t="s">
        <v>206</v>
      </c>
      <c r="I31" s="1" t="s">
        <v>207</v>
      </c>
      <c r="J31" s="1" t="s">
        <v>206</v>
      </c>
      <c r="K31" s="1" t="s">
        <v>207</v>
      </c>
      <c r="L31" s="1" t="s">
        <v>207</v>
      </c>
      <c r="M31" s="1">
        <v>50607.0</v>
      </c>
      <c r="N31" s="1" t="s">
        <v>208</v>
      </c>
      <c r="O31" s="1" t="s">
        <v>30</v>
      </c>
      <c r="P31" s="1" t="s">
        <v>31</v>
      </c>
      <c r="Q31" s="3">
        <v>1.0</v>
      </c>
      <c r="R31" s="4">
        <v>5.89065032406E11</v>
      </c>
      <c r="T31" s="1">
        <v>175000.0</v>
      </c>
      <c r="U31" s="1">
        <v>0.0</v>
      </c>
      <c r="V31" s="1">
        <v>0.0</v>
      </c>
      <c r="W31" s="1">
        <v>175000.0</v>
      </c>
    </row>
    <row r="32" ht="17.25" customHeight="1">
      <c r="A32" s="1" t="s">
        <v>23</v>
      </c>
      <c r="B32" s="2">
        <v>45805.11798611111</v>
      </c>
      <c r="C32" s="2">
        <v>45805.11798611111</v>
      </c>
      <c r="D32" s="2">
        <v>45805.69005787037</v>
      </c>
      <c r="F32" s="1" t="s">
        <v>209</v>
      </c>
      <c r="G32" s="1" t="s">
        <v>210</v>
      </c>
      <c r="H32" s="1" t="s">
        <v>211</v>
      </c>
      <c r="I32" s="1" t="s">
        <v>212</v>
      </c>
      <c r="J32" s="1" t="s">
        <v>211</v>
      </c>
      <c r="K32" s="1" t="s">
        <v>213</v>
      </c>
      <c r="L32" s="1" t="s">
        <v>212</v>
      </c>
      <c r="M32" s="1">
        <v>17084.0</v>
      </c>
      <c r="N32" s="1" t="s">
        <v>214</v>
      </c>
      <c r="O32" s="1" t="s">
        <v>30</v>
      </c>
      <c r="P32" s="1" t="s">
        <v>31</v>
      </c>
      <c r="Q32" s="3">
        <v>1.0</v>
      </c>
      <c r="R32" s="4">
        <v>5.89065032513E11</v>
      </c>
      <c r="T32" s="1">
        <v>175000.0</v>
      </c>
      <c r="U32" s="1">
        <v>0.0</v>
      </c>
      <c r="V32" s="1">
        <v>0.0</v>
      </c>
      <c r="W32" s="1">
        <v>175000.0</v>
      </c>
    </row>
    <row r="33" ht="17.25" customHeight="1">
      <c r="A33" s="1" t="s">
        <v>23</v>
      </c>
      <c r="B33" s="2">
        <v>45805.33939814815</v>
      </c>
      <c r="C33" s="2">
        <v>45805.33939814815</v>
      </c>
      <c r="D33" s="2">
        <v>45805.69012731482</v>
      </c>
      <c r="F33" s="1" t="s">
        <v>215</v>
      </c>
      <c r="G33" s="1" t="s">
        <v>216</v>
      </c>
      <c r="H33" s="1" t="s">
        <v>217</v>
      </c>
      <c r="I33" s="1" t="s">
        <v>218</v>
      </c>
      <c r="J33" s="1" t="s">
        <v>217</v>
      </c>
      <c r="K33" s="1" t="s">
        <v>218</v>
      </c>
      <c r="L33" s="1" t="s">
        <v>218</v>
      </c>
      <c r="M33" s="1">
        <v>5312.0</v>
      </c>
      <c r="N33" s="1" t="s">
        <v>219</v>
      </c>
      <c r="O33" s="1" t="s">
        <v>30</v>
      </c>
      <c r="P33" s="1" t="s">
        <v>31</v>
      </c>
      <c r="Q33" s="3">
        <v>1.0</v>
      </c>
      <c r="R33" s="4">
        <v>5.890650287E11</v>
      </c>
      <c r="T33" s="1">
        <v>356000.0</v>
      </c>
      <c r="U33" s="1">
        <v>0.0</v>
      </c>
      <c r="V33" s="1">
        <v>0.0</v>
      </c>
      <c r="W33" s="1">
        <v>355400.0</v>
      </c>
    </row>
    <row r="34" ht="17.25" customHeight="1">
      <c r="A34" s="1" t="s">
        <v>23</v>
      </c>
      <c r="B34" s="2">
        <v>45805.3728125</v>
      </c>
      <c r="C34" s="2">
        <v>45805.3728125</v>
      </c>
      <c r="D34" s="2">
        <v>45805.69018518519</v>
      </c>
      <c r="F34" s="1" t="s">
        <v>220</v>
      </c>
      <c r="G34" s="1" t="s">
        <v>221</v>
      </c>
      <c r="H34" s="1" t="s">
        <v>222</v>
      </c>
      <c r="I34" s="1" t="s">
        <v>223</v>
      </c>
      <c r="J34" s="1" t="s">
        <v>222</v>
      </c>
      <c r="K34" s="1" t="s">
        <v>223</v>
      </c>
      <c r="L34" s="1" t="s">
        <v>223</v>
      </c>
      <c r="M34" s="1">
        <v>16916.0</v>
      </c>
      <c r="N34" s="1" t="s">
        <v>224</v>
      </c>
      <c r="O34" s="1" t="s">
        <v>30</v>
      </c>
      <c r="P34" s="1" t="s">
        <v>31</v>
      </c>
      <c r="Q34" s="3">
        <v>1.0</v>
      </c>
      <c r="R34" s="4">
        <v>5.89065032594E11</v>
      </c>
      <c r="T34" s="1">
        <v>175000.0</v>
      </c>
      <c r="U34" s="1">
        <v>0.0</v>
      </c>
      <c r="V34" s="1">
        <v>0.0</v>
      </c>
      <c r="W34" s="1">
        <v>175000.0</v>
      </c>
    </row>
    <row r="35" ht="17.25" customHeight="1">
      <c r="A35" s="1" t="s">
        <v>130</v>
      </c>
      <c r="B35" s="2">
        <v>45805.44652777778</v>
      </c>
      <c r="C35" s="2">
        <v>45805.44652777778</v>
      </c>
      <c r="D35" s="2">
        <v>45807.38825231481</v>
      </c>
      <c r="F35" s="1" t="s">
        <v>225</v>
      </c>
      <c r="G35" s="1" t="s">
        <v>226</v>
      </c>
      <c r="H35" s="1" t="s">
        <v>227</v>
      </c>
      <c r="I35" s="1" t="s">
        <v>228</v>
      </c>
      <c r="J35" s="1" t="s">
        <v>227</v>
      </c>
      <c r="K35" s="1" t="s">
        <v>228</v>
      </c>
      <c r="L35" s="1" t="s">
        <v>228</v>
      </c>
      <c r="M35" s="1">
        <v>63124.0</v>
      </c>
      <c r="N35" s="1" t="s">
        <v>229</v>
      </c>
      <c r="O35" s="1" t="s">
        <v>30</v>
      </c>
      <c r="P35" s="1" t="s">
        <v>31</v>
      </c>
      <c r="Q35" s="3">
        <v>1.0</v>
      </c>
      <c r="R35" s="4">
        <v>5.89065051634E11</v>
      </c>
      <c r="T35" s="1">
        <v>310000.0</v>
      </c>
      <c r="U35" s="1">
        <v>0.0</v>
      </c>
      <c r="V35" s="1">
        <v>3000.0</v>
      </c>
      <c r="W35" s="1">
        <v>313000.0</v>
      </c>
    </row>
    <row r="36" ht="17.25" customHeight="1">
      <c r="A36" s="1" t="s">
        <v>130</v>
      </c>
      <c r="B36" s="2">
        <v>45805.502280092594</v>
      </c>
      <c r="C36" s="2">
        <v>45805.50734953704</v>
      </c>
      <c r="D36" s="2">
        <v>45807.388287037036</v>
      </c>
      <c r="F36" s="1" t="s">
        <v>230</v>
      </c>
      <c r="G36" s="1" t="s">
        <v>231</v>
      </c>
      <c r="H36" s="1" t="s">
        <v>232</v>
      </c>
      <c r="I36" s="1" t="s">
        <v>233</v>
      </c>
      <c r="J36" s="1" t="s">
        <v>232</v>
      </c>
      <c r="K36" s="1" t="s">
        <v>233</v>
      </c>
      <c r="L36" s="1" t="s">
        <v>233</v>
      </c>
      <c r="M36" s="1">
        <v>17332.0</v>
      </c>
      <c r="N36" s="1" t="s">
        <v>234</v>
      </c>
      <c r="O36" s="1" t="s">
        <v>30</v>
      </c>
      <c r="P36" s="1" t="s">
        <v>31</v>
      </c>
      <c r="Q36" s="3">
        <v>1.0</v>
      </c>
      <c r="R36" s="4">
        <v>5.89065052216E11</v>
      </c>
      <c r="T36" s="1">
        <v>356000.0</v>
      </c>
      <c r="U36" s="1">
        <v>0.0</v>
      </c>
      <c r="V36" s="1">
        <v>0.0</v>
      </c>
      <c r="W36" s="1">
        <v>355700.0</v>
      </c>
    </row>
    <row r="37" ht="17.25" customHeight="1">
      <c r="A37" s="1" t="s">
        <v>130</v>
      </c>
      <c r="B37" s="2">
        <v>45805.60136574074</v>
      </c>
      <c r="C37" s="2">
        <v>45805.60136574074</v>
      </c>
      <c r="D37" s="2">
        <v>45807.388344907406</v>
      </c>
      <c r="F37" s="1" t="s">
        <v>235</v>
      </c>
      <c r="G37" s="1" t="s">
        <v>236</v>
      </c>
      <c r="H37" s="1" t="s">
        <v>237</v>
      </c>
      <c r="I37" s="1" t="s">
        <v>238</v>
      </c>
      <c r="J37" s="1" t="s">
        <v>237</v>
      </c>
      <c r="K37" s="1" t="s">
        <v>238</v>
      </c>
      <c r="L37" s="1" t="s">
        <v>238</v>
      </c>
      <c r="M37" s="1">
        <v>4637.0</v>
      </c>
      <c r="N37" s="1" t="s">
        <v>239</v>
      </c>
      <c r="O37" s="1" t="s">
        <v>30</v>
      </c>
      <c r="P37" s="1" t="s">
        <v>31</v>
      </c>
      <c r="Q37" s="3">
        <v>1.0</v>
      </c>
      <c r="R37" s="4">
        <v>5.89065052404E11</v>
      </c>
      <c r="T37" s="1">
        <v>310000.0</v>
      </c>
      <c r="U37" s="1">
        <v>0.0</v>
      </c>
      <c r="V37" s="1">
        <v>0.0</v>
      </c>
      <c r="W37" s="1">
        <v>310000.0</v>
      </c>
    </row>
    <row r="38" ht="17.25" customHeight="1">
      <c r="A38" s="1" t="s">
        <v>130</v>
      </c>
      <c r="B38" s="2">
        <v>45805.736238425925</v>
      </c>
      <c r="C38" s="2">
        <v>45805.736238425925</v>
      </c>
      <c r="D38" s="2">
        <v>45807.388391203705</v>
      </c>
      <c r="F38" s="1" t="s">
        <v>240</v>
      </c>
      <c r="G38" s="1" t="s">
        <v>241</v>
      </c>
      <c r="H38" s="1" t="s">
        <v>242</v>
      </c>
      <c r="I38" s="1" t="s">
        <v>243</v>
      </c>
      <c r="J38" s="1" t="s">
        <v>242</v>
      </c>
      <c r="K38" s="1" t="s">
        <v>244</v>
      </c>
      <c r="L38" s="1" t="s">
        <v>243</v>
      </c>
      <c r="M38" s="1">
        <v>46296.0</v>
      </c>
      <c r="N38" s="1" t="s">
        <v>245</v>
      </c>
      <c r="O38" s="1" t="s">
        <v>30</v>
      </c>
      <c r="P38" s="1" t="s">
        <v>31</v>
      </c>
      <c r="Q38" s="3">
        <v>1.0</v>
      </c>
      <c r="R38" s="4">
        <v>5.8906505166E11</v>
      </c>
      <c r="T38" s="1">
        <v>175000.0</v>
      </c>
      <c r="U38" s="1">
        <v>0.0</v>
      </c>
      <c r="V38" s="1">
        <v>0.0</v>
      </c>
      <c r="W38" s="1">
        <v>174400.0</v>
      </c>
    </row>
    <row r="39" ht="17.25" customHeight="1">
      <c r="A39" s="1" t="s">
        <v>130</v>
      </c>
      <c r="B39" s="2">
        <v>45805.793333333335</v>
      </c>
      <c r="C39" s="2">
        <v>45805.793333333335</v>
      </c>
      <c r="D39" s="2">
        <v>45807.38841435185</v>
      </c>
      <c r="F39" s="1" t="s">
        <v>246</v>
      </c>
      <c r="G39" s="1" t="s">
        <v>247</v>
      </c>
      <c r="H39" s="1" t="s">
        <v>248</v>
      </c>
      <c r="I39" s="1" t="s">
        <v>249</v>
      </c>
      <c r="J39" s="1" t="s">
        <v>248</v>
      </c>
      <c r="K39" s="1" t="s">
        <v>197</v>
      </c>
      <c r="L39" s="1" t="s">
        <v>249</v>
      </c>
      <c r="M39" s="1">
        <v>48454.0</v>
      </c>
      <c r="N39" s="1" t="s">
        <v>250</v>
      </c>
      <c r="O39" s="1" t="s">
        <v>30</v>
      </c>
      <c r="P39" s="1" t="s">
        <v>31</v>
      </c>
      <c r="Q39" s="3">
        <v>1.0</v>
      </c>
      <c r="R39" s="4">
        <v>5.89065051656E11</v>
      </c>
      <c r="T39" s="1">
        <v>175000.0</v>
      </c>
      <c r="U39" s="1">
        <v>0.0</v>
      </c>
      <c r="V39" s="1">
        <v>0.0</v>
      </c>
      <c r="W39" s="1">
        <v>175000.0</v>
      </c>
    </row>
    <row r="40" ht="17.25" customHeight="1">
      <c r="A40" s="1" t="s">
        <v>130</v>
      </c>
      <c r="B40" s="2">
        <v>45805.80646990741</v>
      </c>
      <c r="C40" s="2">
        <v>45805.80646990741</v>
      </c>
      <c r="D40" s="2">
        <v>45807.38842592593</v>
      </c>
      <c r="F40" s="1" t="s">
        <v>251</v>
      </c>
      <c r="G40" s="1" t="s">
        <v>252</v>
      </c>
      <c r="H40" s="1" t="s">
        <v>253</v>
      </c>
      <c r="I40" s="1" t="s">
        <v>254</v>
      </c>
      <c r="J40" s="1" t="s">
        <v>253</v>
      </c>
      <c r="K40" s="1" t="s">
        <v>254</v>
      </c>
      <c r="L40" s="1" t="s">
        <v>254</v>
      </c>
      <c r="M40" s="1">
        <v>21117.0</v>
      </c>
      <c r="N40" s="1" t="s">
        <v>255</v>
      </c>
      <c r="O40" s="1" t="s">
        <v>30</v>
      </c>
      <c r="P40" s="1" t="s">
        <v>31</v>
      </c>
      <c r="Q40" s="3">
        <v>1.0</v>
      </c>
      <c r="R40" s="4">
        <v>5.89065051682E11</v>
      </c>
      <c r="T40" s="1">
        <v>175000.0</v>
      </c>
      <c r="U40" s="1">
        <v>0.0</v>
      </c>
      <c r="V40" s="1">
        <v>0.0</v>
      </c>
      <c r="W40" s="1">
        <v>175000.0</v>
      </c>
    </row>
    <row r="41" ht="17.25" customHeight="1">
      <c r="A41" s="1" t="s">
        <v>130</v>
      </c>
      <c r="B41" s="2">
        <v>45806.32549768518</v>
      </c>
      <c r="C41" s="2">
        <v>45806.32549768518</v>
      </c>
      <c r="D41" s="2">
        <v>45807.38858796296</v>
      </c>
      <c r="F41" s="1" t="s">
        <v>256</v>
      </c>
      <c r="G41" s="1" t="s">
        <v>257</v>
      </c>
      <c r="H41" s="1" t="s">
        <v>258</v>
      </c>
      <c r="I41" s="1" t="s">
        <v>259</v>
      </c>
      <c r="J41" s="1" t="s">
        <v>258</v>
      </c>
      <c r="K41" s="1" t="s">
        <v>259</v>
      </c>
      <c r="L41" s="1" t="s">
        <v>259</v>
      </c>
      <c r="M41" s="1">
        <v>39902.0</v>
      </c>
      <c r="N41" s="1" t="s">
        <v>260</v>
      </c>
      <c r="O41" s="1" t="s">
        <v>30</v>
      </c>
      <c r="P41" s="1" t="s">
        <v>31</v>
      </c>
      <c r="Q41" s="3">
        <v>1.0</v>
      </c>
      <c r="R41" s="4">
        <v>5.89065051671E11</v>
      </c>
      <c r="T41" s="1">
        <v>175000.0</v>
      </c>
      <c r="U41" s="1">
        <v>0.0</v>
      </c>
      <c r="V41" s="1">
        <v>0.0</v>
      </c>
      <c r="W41" s="1">
        <v>175000.0</v>
      </c>
    </row>
    <row r="42" ht="17.25" customHeight="1">
      <c r="A42" s="1" t="s">
        <v>130</v>
      </c>
      <c r="B42" s="2">
        <v>45806.45489583333</v>
      </c>
      <c r="C42" s="2">
        <v>45806.45489583333</v>
      </c>
      <c r="D42" s="2">
        <v>45807.70070601852</v>
      </c>
      <c r="F42" s="1" t="s">
        <v>261</v>
      </c>
      <c r="G42" s="1" t="s">
        <v>262</v>
      </c>
      <c r="H42" s="1" t="s">
        <v>263</v>
      </c>
      <c r="I42" s="1" t="s">
        <v>264</v>
      </c>
      <c r="J42" s="1" t="s">
        <v>263</v>
      </c>
      <c r="K42" s="1" t="s">
        <v>264</v>
      </c>
      <c r="L42" s="1" t="s">
        <v>264</v>
      </c>
      <c r="M42" s="1">
        <v>34083.0</v>
      </c>
      <c r="N42" s="1" t="s">
        <v>265</v>
      </c>
      <c r="O42" s="1" t="s">
        <v>30</v>
      </c>
      <c r="P42" s="1" t="s">
        <v>31</v>
      </c>
      <c r="Q42" s="3">
        <v>1.0</v>
      </c>
      <c r="R42" s="4">
        <v>5.89065074524E11</v>
      </c>
      <c r="T42" s="1">
        <v>175000.0</v>
      </c>
      <c r="U42" s="1">
        <v>0.0</v>
      </c>
      <c r="V42" s="1">
        <v>0.0</v>
      </c>
      <c r="W42" s="1">
        <v>175000.0</v>
      </c>
    </row>
    <row r="43" ht="17.25" customHeight="1">
      <c r="A43" s="1" t="s">
        <v>130</v>
      </c>
      <c r="B43" s="2">
        <v>45806.799895833334</v>
      </c>
      <c r="C43" s="2">
        <v>45806.799895833334</v>
      </c>
      <c r="D43" s="2">
        <v>45807.6980787037</v>
      </c>
      <c r="F43" s="1" t="s">
        <v>266</v>
      </c>
      <c r="G43" s="1" t="s">
        <v>267</v>
      </c>
      <c r="H43" s="1" t="s">
        <v>268</v>
      </c>
      <c r="I43" s="1" t="s">
        <v>269</v>
      </c>
      <c r="J43" s="1" t="s">
        <v>270</v>
      </c>
      <c r="K43" s="1" t="s">
        <v>269</v>
      </c>
      <c r="L43" s="1" t="s">
        <v>269</v>
      </c>
      <c r="M43" s="1">
        <v>4393.0</v>
      </c>
      <c r="N43" s="1" t="s">
        <v>271</v>
      </c>
      <c r="O43" s="1" t="s">
        <v>30</v>
      </c>
      <c r="P43" s="1" t="s">
        <v>31</v>
      </c>
      <c r="Q43" s="3">
        <v>1.0</v>
      </c>
      <c r="R43" s="4">
        <v>5.89065074071E11</v>
      </c>
      <c r="T43" s="1">
        <v>350000.0</v>
      </c>
      <c r="U43" s="1">
        <v>0.0</v>
      </c>
      <c r="V43" s="1">
        <v>0.0</v>
      </c>
      <c r="W43" s="1">
        <v>350000.0</v>
      </c>
    </row>
    <row r="44" ht="17.25" customHeight="1">
      <c r="A44" s="1" t="s">
        <v>130</v>
      </c>
      <c r="B44" s="2">
        <v>45806.93493055556</v>
      </c>
      <c r="C44" s="2">
        <v>45806.93493055556</v>
      </c>
      <c r="D44" s="2">
        <v>45807.70082175926</v>
      </c>
      <c r="F44" s="1" t="s">
        <v>272</v>
      </c>
      <c r="G44" s="1" t="s">
        <v>273</v>
      </c>
      <c r="H44" s="1" t="s">
        <v>274</v>
      </c>
      <c r="I44" s="1" t="s">
        <v>275</v>
      </c>
      <c r="J44" s="1" t="s">
        <v>274</v>
      </c>
      <c r="K44" s="1" t="s">
        <v>275</v>
      </c>
      <c r="L44" s="1" t="s">
        <v>275</v>
      </c>
      <c r="M44" s="1">
        <v>28638.0</v>
      </c>
      <c r="N44" s="1" t="s">
        <v>276</v>
      </c>
      <c r="O44" s="1" t="s">
        <v>30</v>
      </c>
      <c r="P44" s="1" t="s">
        <v>31</v>
      </c>
      <c r="Q44" s="3">
        <v>1.0</v>
      </c>
      <c r="R44" s="4">
        <v>5.89065074513E11</v>
      </c>
      <c r="T44" s="1">
        <v>175000.0</v>
      </c>
      <c r="U44" s="1">
        <v>0.0</v>
      </c>
      <c r="V44" s="1">
        <v>0.0</v>
      </c>
      <c r="W44" s="1">
        <v>175000.0</v>
      </c>
    </row>
    <row r="45" ht="17.25" customHeight="1">
      <c r="Q45" s="3"/>
      <c r="R45" s="4"/>
    </row>
    <row r="46" ht="17.25" customHeight="1">
      <c r="Q46" s="3"/>
      <c r="R46" s="4"/>
    </row>
    <row r="47" ht="17.25" customHeight="1">
      <c r="Q47" s="3"/>
      <c r="R47" s="4"/>
    </row>
    <row r="48" ht="17.25" customHeight="1">
      <c r="Q48" s="3"/>
      <c r="R48" s="4"/>
    </row>
    <row r="49" ht="17.25" customHeight="1">
      <c r="Q49" s="3"/>
      <c r="R49" s="4"/>
    </row>
    <row r="50" ht="17.25" customHeight="1">
      <c r="Q50" s="3"/>
      <c r="R50" s="4"/>
    </row>
    <row r="51" ht="17.25" customHeight="1">
      <c r="Q51" s="3"/>
      <c r="R51" s="4"/>
    </row>
    <row r="52" ht="17.25" customHeight="1">
      <c r="Q52" s="3"/>
      <c r="R52" s="4"/>
    </row>
    <row r="53" ht="17.25" customHeight="1">
      <c r="Q53" s="3"/>
      <c r="R53" s="4"/>
    </row>
    <row r="54" ht="17.25" customHeight="1">
      <c r="Q54" s="3"/>
      <c r="R54" s="4"/>
    </row>
    <row r="55" ht="17.25" customHeight="1">
      <c r="Q55" s="3"/>
      <c r="R55" s="4"/>
    </row>
    <row r="56" ht="17.25" customHeight="1">
      <c r="Q56" s="3"/>
      <c r="R56" s="4"/>
    </row>
    <row r="57" ht="17.25" customHeight="1">
      <c r="Q57" s="3"/>
      <c r="R57" s="4"/>
    </row>
    <row r="58" ht="17.25" customHeight="1">
      <c r="Q58" s="3"/>
      <c r="R58" s="4"/>
    </row>
    <row r="59" ht="17.25" customHeight="1">
      <c r="Q59" s="3"/>
      <c r="R59" s="4"/>
    </row>
    <row r="60" ht="17.25" customHeight="1">
      <c r="Q60" s="3"/>
      <c r="R60" s="4"/>
    </row>
    <row r="61" ht="17.25" customHeight="1">
      <c r="Q61" s="3"/>
      <c r="R61" s="4"/>
    </row>
    <row r="62" ht="17.25" customHeight="1">
      <c r="Q62" s="3"/>
      <c r="R62" s="4"/>
    </row>
    <row r="63" ht="17.25" customHeight="1">
      <c r="Q63" s="3"/>
      <c r="R63" s="4"/>
    </row>
    <row r="64" ht="17.25" customHeight="1">
      <c r="Q64" s="3"/>
      <c r="R64" s="4"/>
    </row>
    <row r="65" ht="17.25" customHeight="1">
      <c r="Q65" s="3"/>
      <c r="R65" s="4"/>
    </row>
    <row r="66" ht="17.25" customHeight="1">
      <c r="Q66" s="3"/>
      <c r="R66" s="4"/>
    </row>
    <row r="67" ht="17.25" customHeight="1">
      <c r="Q67" s="3"/>
      <c r="R67" s="4"/>
    </row>
    <row r="68" ht="17.25" customHeight="1">
      <c r="Q68" s="3"/>
      <c r="R68" s="4"/>
    </row>
    <row r="69" ht="17.25" customHeight="1">
      <c r="Q69" s="3"/>
      <c r="R69" s="4"/>
    </row>
    <row r="70" ht="17.25" customHeight="1">
      <c r="Q70" s="3"/>
      <c r="R70" s="4"/>
    </row>
    <row r="71" ht="17.25" customHeight="1">
      <c r="Q71" s="3"/>
      <c r="R71" s="4"/>
    </row>
    <row r="72" ht="17.25" customHeight="1">
      <c r="Q72" s="3"/>
      <c r="R72" s="4"/>
    </row>
    <row r="73" ht="17.25" customHeight="1">
      <c r="Q73" s="3"/>
      <c r="R73" s="4"/>
    </row>
    <row r="74" ht="17.25" customHeight="1">
      <c r="Q74" s="3"/>
      <c r="R74" s="4"/>
    </row>
    <row r="75" ht="17.25" customHeight="1">
      <c r="Q75" s="3"/>
      <c r="R75" s="4"/>
    </row>
    <row r="76" ht="17.25" customHeight="1">
      <c r="Q76" s="3"/>
      <c r="R76" s="4"/>
    </row>
    <row r="77" ht="17.25" customHeight="1">
      <c r="Q77" s="3"/>
      <c r="R77" s="4"/>
    </row>
    <row r="78" ht="17.25" customHeight="1">
      <c r="Q78" s="3"/>
      <c r="R78" s="4"/>
    </row>
    <row r="79" ht="17.25" customHeight="1">
      <c r="Q79" s="3"/>
      <c r="R79" s="4"/>
    </row>
    <row r="80" ht="17.25" customHeight="1">
      <c r="Q80" s="3"/>
      <c r="R80" s="4"/>
    </row>
    <row r="81" ht="17.25" customHeight="1">
      <c r="Q81" s="3"/>
      <c r="R81" s="4"/>
    </row>
    <row r="82" ht="17.25" customHeight="1">
      <c r="Q82" s="3"/>
      <c r="R82" s="4"/>
    </row>
    <row r="83" ht="17.25" customHeight="1">
      <c r="Q83" s="3"/>
      <c r="R83" s="4"/>
    </row>
    <row r="84" ht="17.25" customHeight="1">
      <c r="Q84" s="3"/>
      <c r="R84" s="4"/>
    </row>
    <row r="85" ht="17.25" customHeight="1">
      <c r="Q85" s="3"/>
      <c r="R85" s="4"/>
    </row>
    <row r="86" ht="17.25" customHeight="1">
      <c r="Q86" s="3"/>
      <c r="R86" s="4"/>
    </row>
    <row r="87" ht="17.25" customHeight="1">
      <c r="Q87" s="3"/>
      <c r="R87" s="4"/>
    </row>
    <row r="88" ht="17.25" customHeight="1">
      <c r="Q88" s="3"/>
      <c r="R88" s="4"/>
    </row>
    <row r="89" ht="17.25" customHeight="1">
      <c r="Q89" s="3"/>
      <c r="R89" s="4"/>
    </row>
    <row r="90" ht="17.25" customHeight="1">
      <c r="Q90" s="3"/>
      <c r="R90" s="4"/>
    </row>
    <row r="91" ht="17.25" customHeight="1">
      <c r="Q91" s="3"/>
      <c r="R91" s="4"/>
    </row>
    <row r="92" ht="17.25" customHeight="1">
      <c r="Q92" s="3"/>
      <c r="R92" s="4"/>
    </row>
    <row r="93" ht="17.25" customHeight="1">
      <c r="Q93" s="3"/>
      <c r="R93" s="4"/>
    </row>
    <row r="94" ht="17.25" customHeight="1">
      <c r="Q94" s="3"/>
      <c r="R94" s="4"/>
    </row>
    <row r="95" ht="17.25" customHeight="1">
      <c r="Q95" s="3"/>
      <c r="R95" s="4"/>
    </row>
    <row r="96" ht="17.25" customHeight="1">
      <c r="Q96" s="3"/>
      <c r="R96" s="4"/>
    </row>
    <row r="97" ht="17.25" customHeight="1">
      <c r="Q97" s="3"/>
      <c r="R97" s="4"/>
    </row>
    <row r="98" ht="17.25" customHeight="1">
      <c r="Q98" s="3"/>
      <c r="R98" s="4"/>
    </row>
    <row r="99" ht="17.25" customHeight="1">
      <c r="Q99" s="3"/>
      <c r="R99" s="4"/>
    </row>
    <row r="100" ht="17.25" customHeight="1">
      <c r="Q100" s="3"/>
      <c r="R100" s="4"/>
    </row>
    <row r="101" ht="17.25" customHeight="1">
      <c r="Q101" s="3"/>
      <c r="R101" s="4"/>
    </row>
    <row r="102" ht="17.25" customHeight="1">
      <c r="Q102" s="3"/>
      <c r="R102" s="4"/>
    </row>
    <row r="103" ht="17.25" customHeight="1">
      <c r="Q103" s="3"/>
      <c r="R103" s="4"/>
    </row>
    <row r="104" ht="17.25" customHeight="1">
      <c r="Q104" s="3"/>
      <c r="R104" s="4"/>
    </row>
    <row r="105" ht="17.25" customHeight="1">
      <c r="Q105" s="3"/>
      <c r="R105" s="4"/>
    </row>
    <row r="106" ht="17.25" customHeight="1">
      <c r="Q106" s="3"/>
      <c r="R106" s="4"/>
    </row>
    <row r="107" ht="17.25" customHeight="1">
      <c r="Q107" s="3"/>
      <c r="R107" s="4"/>
    </row>
    <row r="108" ht="17.25" customHeight="1">
      <c r="Q108" s="3"/>
      <c r="R108" s="4"/>
    </row>
    <row r="109" ht="17.25" customHeight="1">
      <c r="Q109" s="3"/>
      <c r="R109" s="4"/>
    </row>
    <row r="110" ht="17.25" customHeight="1">
      <c r="Q110" s="3"/>
      <c r="R110" s="4"/>
    </row>
    <row r="111" ht="17.25" customHeight="1">
      <c r="Q111" s="3"/>
      <c r="R111" s="4"/>
    </row>
    <row r="112" ht="17.25" customHeight="1">
      <c r="Q112" s="3"/>
      <c r="R112" s="4"/>
    </row>
    <row r="113" ht="17.25" customHeight="1">
      <c r="Q113" s="3"/>
      <c r="R113" s="4"/>
    </row>
    <row r="114" ht="17.25" customHeight="1">
      <c r="Q114" s="3"/>
      <c r="R114" s="4"/>
    </row>
    <row r="115" ht="17.25" customHeight="1">
      <c r="Q115" s="3"/>
      <c r="R115" s="4"/>
    </row>
    <row r="116" ht="17.25" customHeight="1">
      <c r="Q116" s="3"/>
      <c r="R116" s="4"/>
    </row>
    <row r="117" ht="17.25" customHeight="1">
      <c r="Q117" s="3"/>
      <c r="R117" s="4"/>
    </row>
    <row r="118" ht="17.25" customHeight="1">
      <c r="Q118" s="3"/>
      <c r="R118" s="4"/>
    </row>
    <row r="119" ht="17.25" customHeight="1">
      <c r="Q119" s="3"/>
      <c r="R119" s="4"/>
    </row>
    <row r="120" ht="17.25" customHeight="1">
      <c r="Q120" s="3"/>
      <c r="R120" s="4"/>
    </row>
    <row r="121" ht="17.25" customHeight="1">
      <c r="Q121" s="3"/>
      <c r="R121" s="4"/>
    </row>
    <row r="122" ht="17.25" customHeight="1">
      <c r="Q122" s="3"/>
      <c r="R122" s="4"/>
    </row>
    <row r="123" ht="17.25" customHeight="1">
      <c r="Q123" s="3"/>
      <c r="R123" s="4"/>
    </row>
    <row r="124" ht="17.25" customHeight="1">
      <c r="Q124" s="3"/>
      <c r="R124" s="4"/>
    </row>
    <row r="125" ht="17.25" customHeight="1">
      <c r="Q125" s="3"/>
      <c r="R125" s="4"/>
    </row>
    <row r="126" ht="17.25" customHeight="1">
      <c r="Q126" s="3"/>
      <c r="R126" s="4"/>
    </row>
    <row r="127" ht="17.25" customHeight="1">
      <c r="Q127" s="3"/>
      <c r="R127" s="4"/>
    </row>
    <row r="128" ht="17.25" customHeight="1">
      <c r="Q128" s="3"/>
      <c r="R128" s="4"/>
    </row>
    <row r="129" ht="17.25" customHeight="1">
      <c r="Q129" s="3"/>
      <c r="R129" s="4"/>
    </row>
    <row r="130" ht="17.25" customHeight="1">
      <c r="Q130" s="3"/>
      <c r="R130" s="4"/>
    </row>
    <row r="131" ht="17.25" customHeight="1">
      <c r="Q131" s="3"/>
      <c r="R131" s="4"/>
    </row>
    <row r="132" ht="17.25" customHeight="1">
      <c r="Q132" s="3"/>
      <c r="R132" s="4"/>
    </row>
    <row r="133" ht="17.25" customHeight="1">
      <c r="Q133" s="3"/>
      <c r="R133" s="4"/>
    </row>
    <row r="134" ht="17.25" customHeight="1">
      <c r="Q134" s="3"/>
      <c r="R134" s="4"/>
    </row>
    <row r="135" ht="17.25" customHeight="1">
      <c r="Q135" s="3"/>
      <c r="R135" s="4"/>
    </row>
    <row r="136" ht="17.25" customHeight="1">
      <c r="Q136" s="3"/>
      <c r="R136" s="4"/>
    </row>
    <row r="137" ht="17.25" customHeight="1">
      <c r="Q137" s="3"/>
      <c r="R137" s="4"/>
    </row>
    <row r="138" ht="17.25" customHeight="1">
      <c r="Q138" s="3"/>
      <c r="R138" s="4"/>
    </row>
    <row r="139" ht="17.25" customHeight="1">
      <c r="Q139" s="3"/>
      <c r="R139" s="4"/>
    </row>
    <row r="140" ht="17.25" customHeight="1">
      <c r="Q140" s="3"/>
      <c r="R140" s="4"/>
    </row>
    <row r="141" ht="17.25" customHeight="1">
      <c r="Q141" s="3"/>
      <c r="R141" s="4"/>
    </row>
    <row r="142" ht="17.25" customHeight="1">
      <c r="Q142" s="3"/>
      <c r="R142" s="4"/>
    </row>
    <row r="143" ht="17.25" customHeight="1">
      <c r="Q143" s="3"/>
      <c r="R143" s="4"/>
    </row>
    <row r="144" ht="17.25" customHeight="1">
      <c r="Q144" s="3"/>
      <c r="R144" s="4"/>
    </row>
    <row r="145" ht="17.25" customHeight="1">
      <c r="Q145" s="3"/>
      <c r="R145" s="4"/>
    </row>
    <row r="146" ht="17.25" customHeight="1">
      <c r="Q146" s="3"/>
      <c r="R146" s="4"/>
    </row>
    <row r="147" ht="17.25" customHeight="1">
      <c r="Q147" s="3"/>
      <c r="R147" s="4"/>
    </row>
    <row r="148" ht="17.25" customHeight="1">
      <c r="Q148" s="3"/>
      <c r="R148" s="4"/>
    </row>
    <row r="149" ht="17.25" customHeight="1">
      <c r="Q149" s="3"/>
      <c r="R149" s="4"/>
    </row>
    <row r="150" ht="17.25" customHeight="1">
      <c r="Q150" s="3"/>
      <c r="R150" s="4"/>
    </row>
    <row r="151" ht="17.25" customHeight="1">
      <c r="Q151" s="3"/>
      <c r="R151" s="4"/>
    </row>
    <row r="152" ht="17.25" customHeight="1">
      <c r="Q152" s="3"/>
      <c r="R152" s="4"/>
    </row>
    <row r="153" ht="17.25" customHeight="1">
      <c r="Q153" s="3"/>
      <c r="R153" s="4"/>
    </row>
    <row r="154" ht="17.25" customHeight="1">
      <c r="Q154" s="3"/>
      <c r="R154" s="4"/>
    </row>
    <row r="155" ht="17.25" customHeight="1">
      <c r="Q155" s="3"/>
      <c r="R155" s="4"/>
    </row>
    <row r="156" ht="17.25" customHeight="1">
      <c r="Q156" s="3"/>
      <c r="R156" s="4"/>
    </row>
    <row r="157" ht="17.25" customHeight="1">
      <c r="Q157" s="3"/>
      <c r="R157" s="4"/>
    </row>
    <row r="158" ht="17.25" customHeight="1">
      <c r="Q158" s="3"/>
      <c r="R158" s="4"/>
    </row>
    <row r="159" ht="17.25" customHeight="1">
      <c r="Q159" s="3"/>
      <c r="R159" s="4"/>
    </row>
    <row r="160" ht="17.25" customHeight="1">
      <c r="Q160" s="3"/>
      <c r="R160" s="4"/>
    </row>
    <row r="161" ht="17.25" customHeight="1">
      <c r="Q161" s="3"/>
      <c r="R161" s="4"/>
    </row>
    <row r="162" ht="17.25" customHeight="1">
      <c r="Q162" s="3"/>
      <c r="R162" s="4"/>
    </row>
    <row r="163" ht="17.25" customHeight="1">
      <c r="Q163" s="3"/>
      <c r="R163" s="4"/>
    </row>
    <row r="164" ht="17.25" customHeight="1">
      <c r="Q164" s="3"/>
      <c r="R164" s="4"/>
    </row>
    <row r="165" ht="17.25" customHeight="1">
      <c r="Q165" s="3"/>
      <c r="R165" s="4"/>
    </row>
    <row r="166" ht="17.25" customHeight="1">
      <c r="Q166" s="3"/>
      <c r="R166" s="4"/>
    </row>
    <row r="167" ht="17.25" customHeight="1">
      <c r="Q167" s="3"/>
      <c r="R167" s="4"/>
    </row>
    <row r="168" ht="17.25" customHeight="1">
      <c r="Q168" s="3"/>
      <c r="R168" s="4"/>
    </row>
    <row r="169" ht="17.25" customHeight="1">
      <c r="Q169" s="3"/>
      <c r="R169" s="4"/>
    </row>
    <row r="170" ht="17.25" customHeight="1">
      <c r="Q170" s="3"/>
      <c r="R170" s="4"/>
    </row>
    <row r="171" ht="17.25" customHeight="1">
      <c r="Q171" s="3"/>
      <c r="R171" s="4"/>
    </row>
    <row r="172" ht="17.25" customHeight="1">
      <c r="Q172" s="3"/>
      <c r="R172" s="4"/>
    </row>
    <row r="173" ht="17.25" customHeight="1">
      <c r="Q173" s="3"/>
      <c r="R173" s="4"/>
    </row>
    <row r="174" ht="17.25" customHeight="1">
      <c r="Q174" s="3"/>
      <c r="R174" s="4"/>
    </row>
    <row r="175" ht="17.25" customHeight="1">
      <c r="Q175" s="3"/>
      <c r="R175" s="4"/>
    </row>
    <row r="176" ht="17.25" customHeight="1">
      <c r="Q176" s="3"/>
      <c r="R176" s="4"/>
    </row>
    <row r="177" ht="17.25" customHeight="1">
      <c r="Q177" s="3"/>
      <c r="R177" s="4"/>
    </row>
    <row r="178" ht="17.25" customHeight="1">
      <c r="Q178" s="3"/>
      <c r="R178" s="4"/>
    </row>
    <row r="179" ht="17.25" customHeight="1">
      <c r="Q179" s="3"/>
      <c r="R179" s="4"/>
    </row>
    <row r="180" ht="17.25" customHeight="1">
      <c r="Q180" s="3"/>
      <c r="R180" s="4"/>
    </row>
    <row r="181" ht="17.25" customHeight="1">
      <c r="Q181" s="3"/>
      <c r="R181" s="4"/>
    </row>
    <row r="182" ht="17.25" customHeight="1">
      <c r="Q182" s="3"/>
      <c r="R182" s="4"/>
    </row>
    <row r="183" ht="17.25" customHeight="1">
      <c r="Q183" s="3"/>
      <c r="R183" s="4"/>
    </row>
    <row r="184" ht="17.25" customHeight="1">
      <c r="Q184" s="3"/>
      <c r="R184" s="4"/>
    </row>
    <row r="185" ht="17.25" customHeight="1">
      <c r="Q185" s="3"/>
      <c r="R185" s="4"/>
    </row>
    <row r="186" ht="17.25" customHeight="1">
      <c r="Q186" s="3"/>
      <c r="R186" s="4"/>
    </row>
    <row r="187" ht="17.25" customHeight="1">
      <c r="Q187" s="3"/>
      <c r="R187" s="4"/>
    </row>
    <row r="188" ht="17.25" customHeight="1">
      <c r="Q188" s="3"/>
      <c r="R188" s="4"/>
    </row>
    <row r="189" ht="17.25" customHeight="1">
      <c r="Q189" s="3"/>
      <c r="R189" s="4"/>
    </row>
    <row r="190" ht="17.25" customHeight="1">
      <c r="Q190" s="3"/>
      <c r="R190" s="4"/>
    </row>
    <row r="191" ht="17.25" customHeight="1">
      <c r="Q191" s="3"/>
      <c r="R191" s="4"/>
    </row>
    <row r="192" ht="17.25" customHeight="1">
      <c r="Q192" s="3"/>
      <c r="R192" s="4"/>
    </row>
    <row r="193" ht="17.25" customHeight="1">
      <c r="Q193" s="3"/>
      <c r="R193" s="4"/>
    </row>
    <row r="194" ht="17.25" customHeight="1">
      <c r="Q194" s="3"/>
      <c r="R194" s="4"/>
    </row>
    <row r="195" ht="17.25" customHeight="1">
      <c r="Q195" s="3"/>
      <c r="R195" s="4"/>
    </row>
    <row r="196" ht="17.25" customHeight="1">
      <c r="Q196" s="3"/>
      <c r="R196" s="4"/>
    </row>
    <row r="197" ht="17.25" customHeight="1">
      <c r="Q197" s="3"/>
      <c r="R197" s="4"/>
    </row>
    <row r="198" ht="17.25" customHeight="1">
      <c r="Q198" s="3"/>
      <c r="R198" s="4"/>
    </row>
    <row r="199" ht="17.25" customHeight="1">
      <c r="Q199" s="3"/>
      <c r="R199" s="4"/>
    </row>
    <row r="200" ht="17.25" customHeight="1">
      <c r="Q200" s="3"/>
      <c r="R200" s="4"/>
    </row>
    <row r="201" ht="17.25" customHeight="1">
      <c r="Q201" s="3"/>
      <c r="R201" s="4"/>
    </row>
    <row r="202" ht="17.25" customHeight="1">
      <c r="Q202" s="3"/>
      <c r="R202" s="4"/>
    </row>
    <row r="203" ht="17.25" customHeight="1">
      <c r="Q203" s="3"/>
      <c r="R203" s="4"/>
    </row>
    <row r="204" ht="17.25" customHeight="1">
      <c r="Q204" s="3"/>
      <c r="R204" s="4"/>
    </row>
    <row r="205" ht="17.25" customHeight="1">
      <c r="Q205" s="3"/>
      <c r="R205" s="4"/>
    </row>
    <row r="206" ht="17.25" customHeight="1">
      <c r="Q206" s="3"/>
      <c r="R206" s="4"/>
    </row>
    <row r="207" ht="17.25" customHeight="1">
      <c r="Q207" s="3"/>
      <c r="R207" s="4"/>
    </row>
    <row r="208" ht="17.25" customHeight="1">
      <c r="Q208" s="3"/>
      <c r="R208" s="4"/>
    </row>
    <row r="209" ht="17.25" customHeight="1">
      <c r="Q209" s="3"/>
      <c r="R209" s="4"/>
    </row>
    <row r="210" ht="17.25" customHeight="1">
      <c r="Q210" s="3"/>
      <c r="R210" s="4"/>
    </row>
    <row r="211" ht="17.25" customHeight="1">
      <c r="Q211" s="3"/>
      <c r="R211" s="4"/>
    </row>
    <row r="212" ht="17.25" customHeight="1">
      <c r="Q212" s="3"/>
      <c r="R212" s="4"/>
    </row>
    <row r="213" ht="17.25" customHeight="1">
      <c r="Q213" s="3"/>
      <c r="R213" s="4"/>
    </row>
    <row r="214" ht="17.25" customHeight="1">
      <c r="Q214" s="3"/>
      <c r="R214" s="4"/>
    </row>
    <row r="215" ht="17.25" customHeight="1">
      <c r="Q215" s="3"/>
      <c r="R215" s="4"/>
    </row>
    <row r="216" ht="17.25" customHeight="1">
      <c r="Q216" s="3"/>
      <c r="R216" s="4"/>
    </row>
    <row r="217" ht="17.25" customHeight="1">
      <c r="Q217" s="3"/>
      <c r="R217" s="4"/>
    </row>
    <row r="218" ht="17.25" customHeight="1">
      <c r="Q218" s="3"/>
      <c r="R218" s="4"/>
    </row>
    <row r="219" ht="17.25" customHeight="1">
      <c r="Q219" s="3"/>
      <c r="R219" s="4"/>
    </row>
    <row r="220" ht="17.25" customHeight="1">
      <c r="Q220" s="3"/>
      <c r="R220" s="4"/>
    </row>
    <row r="221" ht="17.25" customHeight="1">
      <c r="Q221" s="3"/>
      <c r="R221" s="4"/>
    </row>
    <row r="222" ht="17.25" customHeight="1">
      <c r="Q222" s="3"/>
      <c r="R222" s="4"/>
    </row>
    <row r="223" ht="17.25" customHeight="1">
      <c r="Q223" s="3"/>
      <c r="R223" s="4"/>
    </row>
    <row r="224" ht="17.25" customHeight="1">
      <c r="Q224" s="3"/>
      <c r="R224" s="4"/>
    </row>
    <row r="225" ht="17.25" customHeight="1">
      <c r="Q225" s="3"/>
      <c r="R225" s="4"/>
    </row>
    <row r="226" ht="17.25" customHeight="1">
      <c r="Q226" s="3"/>
      <c r="R226" s="4"/>
    </row>
    <row r="227" ht="17.25" customHeight="1">
      <c r="Q227" s="3"/>
      <c r="R227" s="4"/>
    </row>
    <row r="228" ht="17.25" customHeight="1">
      <c r="Q228" s="3"/>
      <c r="R228" s="4"/>
    </row>
    <row r="229" ht="17.25" customHeight="1">
      <c r="Q229" s="3"/>
      <c r="R229" s="4"/>
    </row>
    <row r="230" ht="17.25" customHeight="1">
      <c r="Q230" s="3"/>
      <c r="R230" s="4"/>
    </row>
    <row r="231" ht="17.25" customHeight="1">
      <c r="Q231" s="3"/>
      <c r="R231" s="4"/>
    </row>
    <row r="232" ht="17.25" customHeight="1">
      <c r="Q232" s="3"/>
      <c r="R232" s="4"/>
    </row>
    <row r="233" ht="17.25" customHeight="1">
      <c r="Q233" s="3"/>
      <c r="R233" s="4"/>
    </row>
    <row r="234" ht="17.25" customHeight="1">
      <c r="Q234" s="3"/>
      <c r="R234" s="4"/>
    </row>
    <row r="235" ht="17.25" customHeight="1">
      <c r="Q235" s="3"/>
      <c r="R235" s="4"/>
    </row>
    <row r="236" ht="17.25" customHeight="1">
      <c r="Q236" s="3"/>
      <c r="R236" s="4"/>
    </row>
    <row r="237" ht="17.25" customHeight="1">
      <c r="Q237" s="3"/>
      <c r="R237" s="4"/>
    </row>
    <row r="238" ht="17.25" customHeight="1">
      <c r="Q238" s="3"/>
      <c r="R238" s="4"/>
    </row>
    <row r="239" ht="17.25" customHeight="1">
      <c r="Q239" s="3"/>
      <c r="R239" s="4"/>
    </row>
    <row r="240" ht="17.25" customHeight="1">
      <c r="Q240" s="3"/>
      <c r="R240" s="4"/>
    </row>
    <row r="241" ht="17.25" customHeight="1">
      <c r="Q241" s="3"/>
      <c r="R241" s="4"/>
    </row>
    <row r="242" ht="17.25" customHeight="1">
      <c r="Q242" s="3"/>
      <c r="R242" s="4"/>
    </row>
    <row r="243" ht="17.25" customHeight="1">
      <c r="Q243" s="3"/>
      <c r="R243" s="4"/>
    </row>
    <row r="244" ht="17.25" customHeight="1">
      <c r="Q244" s="3"/>
      <c r="R244" s="4"/>
    </row>
    <row r="245" ht="17.25" customHeight="1">
      <c r="Q245" s="3"/>
      <c r="R245" s="4"/>
    </row>
    <row r="246" ht="17.25" customHeight="1">
      <c r="Q246" s="3"/>
      <c r="R246" s="4"/>
    </row>
    <row r="247" ht="17.25" customHeight="1">
      <c r="Q247" s="3"/>
      <c r="R247" s="4"/>
    </row>
    <row r="248" ht="17.25" customHeight="1">
      <c r="Q248" s="3"/>
      <c r="R248" s="4"/>
    </row>
    <row r="249" ht="17.25" customHeight="1">
      <c r="Q249" s="3"/>
      <c r="R249" s="4"/>
    </row>
    <row r="250" ht="17.25" customHeight="1">
      <c r="Q250" s="3"/>
      <c r="R250" s="4"/>
    </row>
    <row r="251" ht="17.25" customHeight="1">
      <c r="Q251" s="3"/>
      <c r="R251" s="4"/>
    </row>
    <row r="252" ht="17.25" customHeight="1">
      <c r="Q252" s="3"/>
      <c r="R252" s="4"/>
    </row>
    <row r="253" ht="17.25" customHeight="1">
      <c r="Q253" s="3"/>
      <c r="R253" s="4"/>
    </row>
    <row r="254" ht="17.25" customHeight="1">
      <c r="Q254" s="3"/>
      <c r="R254" s="4"/>
    </row>
    <row r="255" ht="17.25" customHeight="1">
      <c r="Q255" s="3"/>
      <c r="R255" s="4"/>
    </row>
    <row r="256" ht="17.25" customHeight="1">
      <c r="Q256" s="3"/>
      <c r="R256" s="4"/>
    </row>
    <row r="257" ht="17.25" customHeight="1">
      <c r="Q257" s="3"/>
      <c r="R257" s="4"/>
    </row>
    <row r="258" ht="17.25" customHeight="1">
      <c r="Q258" s="3"/>
      <c r="R258" s="4"/>
    </row>
    <row r="259" ht="17.25" customHeight="1">
      <c r="Q259" s="3"/>
      <c r="R259" s="4"/>
    </row>
    <row r="260" ht="17.25" customHeight="1">
      <c r="Q260" s="3"/>
      <c r="R260" s="4"/>
    </row>
    <row r="261" ht="17.25" customHeight="1">
      <c r="Q261" s="3"/>
      <c r="R261" s="4"/>
    </row>
    <row r="262" ht="17.25" customHeight="1">
      <c r="Q262" s="3"/>
      <c r="R262" s="4"/>
    </row>
    <row r="263" ht="17.25" customHeight="1">
      <c r="Q263" s="3"/>
      <c r="R263" s="4"/>
    </row>
    <row r="264" ht="17.25" customHeight="1">
      <c r="Q264" s="3"/>
      <c r="R264" s="4"/>
    </row>
    <row r="265" ht="17.25" customHeight="1">
      <c r="Q265" s="3"/>
      <c r="R265" s="4"/>
    </row>
    <row r="266" ht="17.25" customHeight="1">
      <c r="Q266" s="3"/>
      <c r="R266" s="4"/>
    </row>
    <row r="267" ht="17.25" customHeight="1">
      <c r="Q267" s="3"/>
      <c r="R267" s="4"/>
    </row>
    <row r="268" ht="17.25" customHeight="1">
      <c r="Q268" s="3"/>
      <c r="R268" s="4"/>
    </row>
    <row r="269" ht="17.25" customHeight="1">
      <c r="Q269" s="3"/>
      <c r="R269" s="4"/>
    </row>
    <row r="270" ht="17.25" customHeight="1">
      <c r="Q270" s="3"/>
      <c r="R270" s="4"/>
    </row>
    <row r="271" ht="17.25" customHeight="1">
      <c r="Q271" s="3"/>
      <c r="R271" s="4"/>
    </row>
    <row r="272" ht="17.25" customHeight="1">
      <c r="Q272" s="3"/>
      <c r="R272" s="4"/>
    </row>
    <row r="273" ht="17.25" customHeight="1">
      <c r="Q273" s="3"/>
      <c r="R273" s="4"/>
    </row>
    <row r="274" ht="17.25" customHeight="1">
      <c r="Q274" s="3"/>
      <c r="R274" s="4"/>
    </row>
    <row r="275" ht="17.25" customHeight="1">
      <c r="Q275" s="3"/>
      <c r="R275" s="4"/>
    </row>
    <row r="276" ht="17.25" customHeight="1">
      <c r="Q276" s="3"/>
      <c r="R276" s="4"/>
    </row>
    <row r="277" ht="17.25" customHeight="1">
      <c r="Q277" s="3"/>
      <c r="R277" s="4"/>
    </row>
    <row r="278" ht="17.25" customHeight="1">
      <c r="Q278" s="3"/>
      <c r="R278" s="4"/>
    </row>
    <row r="279" ht="17.25" customHeight="1">
      <c r="Q279" s="3"/>
      <c r="R279" s="4"/>
    </row>
    <row r="280" ht="17.25" customHeight="1">
      <c r="Q280" s="3"/>
      <c r="R280" s="4"/>
    </row>
    <row r="281" ht="17.25" customHeight="1">
      <c r="Q281" s="3"/>
      <c r="R281" s="4"/>
    </row>
    <row r="282" ht="17.25" customHeight="1">
      <c r="Q282" s="3"/>
      <c r="R282" s="4"/>
    </row>
    <row r="283" ht="17.25" customHeight="1">
      <c r="Q283" s="3"/>
      <c r="R283" s="4"/>
    </row>
    <row r="284" ht="17.25" customHeight="1">
      <c r="Q284" s="3"/>
      <c r="R284" s="4"/>
    </row>
    <row r="285" ht="17.25" customHeight="1">
      <c r="Q285" s="3"/>
      <c r="R285" s="4"/>
    </row>
    <row r="286" ht="17.25" customHeight="1">
      <c r="Q286" s="3"/>
      <c r="R286" s="4"/>
    </row>
    <row r="287" ht="17.25" customHeight="1">
      <c r="Q287" s="3"/>
      <c r="R287" s="4"/>
    </row>
    <row r="288" ht="17.25" customHeight="1">
      <c r="Q288" s="3"/>
      <c r="R288" s="4"/>
    </row>
    <row r="289" ht="17.25" customHeight="1">
      <c r="Q289" s="3"/>
      <c r="R289" s="4"/>
    </row>
    <row r="290" ht="17.25" customHeight="1">
      <c r="Q290" s="3"/>
      <c r="R290" s="4"/>
    </row>
    <row r="291" ht="17.25" customHeight="1">
      <c r="Q291" s="3"/>
      <c r="R291" s="4"/>
    </row>
    <row r="292" ht="17.25" customHeight="1">
      <c r="Q292" s="3"/>
      <c r="R292" s="4"/>
    </row>
    <row r="293" ht="17.25" customHeight="1">
      <c r="Q293" s="3"/>
      <c r="R293" s="4"/>
    </row>
    <row r="294" ht="17.25" customHeight="1">
      <c r="Q294" s="3"/>
      <c r="R294" s="4"/>
    </row>
    <row r="295" ht="17.25" customHeight="1">
      <c r="Q295" s="3"/>
      <c r="R295" s="4"/>
    </row>
    <row r="296" ht="17.25" customHeight="1">
      <c r="Q296" s="3"/>
      <c r="R296" s="4"/>
    </row>
    <row r="297" ht="17.25" customHeight="1">
      <c r="Q297" s="3"/>
      <c r="R297" s="4"/>
    </row>
    <row r="298" ht="17.25" customHeight="1">
      <c r="Q298" s="3"/>
      <c r="R298" s="4"/>
    </row>
    <row r="299" ht="17.25" customHeight="1">
      <c r="Q299" s="3"/>
      <c r="R299" s="4"/>
    </row>
    <row r="300" ht="17.25" customHeight="1">
      <c r="Q300" s="3"/>
      <c r="R300" s="4"/>
    </row>
    <row r="301" ht="17.25" customHeight="1">
      <c r="Q301" s="3"/>
      <c r="R301" s="4"/>
    </row>
    <row r="302" ht="17.25" customHeight="1">
      <c r="Q302" s="3"/>
      <c r="R302" s="4"/>
    </row>
    <row r="303" ht="17.25" customHeight="1">
      <c r="Q303" s="3"/>
      <c r="R303" s="4"/>
    </row>
    <row r="304" ht="17.25" customHeight="1">
      <c r="Q304" s="3"/>
      <c r="R304" s="4"/>
    </row>
    <row r="305" ht="17.25" customHeight="1">
      <c r="Q305" s="3"/>
      <c r="R305" s="4"/>
    </row>
    <row r="306" ht="17.25" customHeight="1">
      <c r="Q306" s="3"/>
      <c r="R306" s="4"/>
    </row>
    <row r="307" ht="17.25" customHeight="1">
      <c r="Q307" s="3"/>
      <c r="R307" s="4"/>
    </row>
    <row r="308" ht="17.25" customHeight="1">
      <c r="Q308" s="3"/>
      <c r="R308" s="4"/>
    </row>
    <row r="309" ht="17.25" customHeight="1">
      <c r="Q309" s="3"/>
      <c r="R309" s="4"/>
    </row>
    <row r="310" ht="17.25" customHeight="1">
      <c r="Q310" s="3"/>
      <c r="R310" s="4"/>
    </row>
    <row r="311" ht="17.25" customHeight="1">
      <c r="Q311" s="3"/>
      <c r="R311" s="4"/>
    </row>
    <row r="312" ht="17.25" customHeight="1">
      <c r="Q312" s="3"/>
      <c r="R312" s="4"/>
    </row>
    <row r="313" ht="17.25" customHeight="1">
      <c r="Q313" s="3"/>
      <c r="R313" s="4"/>
    </row>
    <row r="314" ht="17.25" customHeight="1">
      <c r="Q314" s="3"/>
      <c r="R314" s="4"/>
    </row>
    <row r="315" ht="17.25" customHeight="1">
      <c r="Q315" s="3"/>
      <c r="R315" s="4"/>
    </row>
    <row r="316" ht="17.25" customHeight="1">
      <c r="Q316" s="3"/>
      <c r="R316" s="4"/>
    </row>
    <row r="317" ht="17.25" customHeight="1">
      <c r="Q317" s="3"/>
      <c r="R317" s="4"/>
    </row>
    <row r="318" ht="17.25" customHeight="1">
      <c r="Q318" s="3"/>
      <c r="R318" s="4"/>
    </row>
    <row r="319" ht="17.25" customHeight="1">
      <c r="Q319" s="3"/>
      <c r="R319" s="4"/>
    </row>
    <row r="320" ht="17.25" customHeight="1">
      <c r="Q320" s="3"/>
      <c r="R320" s="4"/>
    </row>
    <row r="321" ht="17.25" customHeight="1">
      <c r="Q321" s="3"/>
      <c r="R321" s="4"/>
    </row>
    <row r="322" ht="17.25" customHeight="1">
      <c r="Q322" s="3"/>
      <c r="R322" s="4"/>
    </row>
    <row r="323" ht="17.25" customHeight="1">
      <c r="Q323" s="3"/>
      <c r="R323" s="4"/>
    </row>
    <row r="324" ht="17.25" customHeight="1">
      <c r="Q324" s="3"/>
      <c r="R324" s="4"/>
    </row>
    <row r="325" ht="17.25" customHeight="1">
      <c r="Q325" s="3"/>
      <c r="R325" s="4"/>
    </row>
    <row r="326" ht="17.25" customHeight="1">
      <c r="Q326" s="3"/>
      <c r="R326" s="4"/>
    </row>
    <row r="327" ht="17.25" customHeight="1">
      <c r="Q327" s="3"/>
      <c r="R327" s="4"/>
    </row>
    <row r="328" ht="17.25" customHeight="1">
      <c r="Q328" s="3"/>
      <c r="R328" s="4"/>
    </row>
    <row r="329" ht="17.25" customHeight="1">
      <c r="Q329" s="3"/>
      <c r="R329" s="4"/>
    </row>
    <row r="330" ht="17.25" customHeight="1">
      <c r="Q330" s="3"/>
      <c r="R330" s="4"/>
    </row>
    <row r="331" ht="17.25" customHeight="1">
      <c r="Q331" s="3"/>
      <c r="R331" s="4"/>
    </row>
    <row r="332" ht="17.25" customHeight="1">
      <c r="Q332" s="3"/>
      <c r="R332" s="4"/>
    </row>
    <row r="333" ht="17.25" customHeight="1">
      <c r="Q333" s="3"/>
      <c r="R333" s="4"/>
    </row>
    <row r="334" ht="17.25" customHeight="1">
      <c r="Q334" s="3"/>
      <c r="R334" s="4"/>
    </row>
    <row r="335" ht="17.25" customHeight="1">
      <c r="Q335" s="3"/>
      <c r="R335" s="4"/>
    </row>
    <row r="336" ht="17.25" customHeight="1">
      <c r="Q336" s="3"/>
      <c r="R336" s="4"/>
    </row>
    <row r="337" ht="17.25" customHeight="1">
      <c r="Q337" s="3"/>
      <c r="R337" s="4"/>
    </row>
    <row r="338" ht="17.25" customHeight="1">
      <c r="Q338" s="3"/>
      <c r="R338" s="4"/>
    </row>
    <row r="339" ht="17.25" customHeight="1">
      <c r="Q339" s="3"/>
      <c r="R339" s="4"/>
    </row>
    <row r="340" ht="17.25" customHeight="1">
      <c r="Q340" s="3"/>
      <c r="R340" s="4"/>
    </row>
    <row r="341" ht="17.25" customHeight="1">
      <c r="Q341" s="3"/>
      <c r="R341" s="4"/>
    </row>
    <row r="342" ht="17.25" customHeight="1">
      <c r="Q342" s="3"/>
      <c r="R342" s="4"/>
    </row>
    <row r="343" ht="17.25" customHeight="1">
      <c r="Q343" s="3"/>
      <c r="R343" s="4"/>
    </row>
    <row r="344" ht="17.25" customHeight="1">
      <c r="Q344" s="3"/>
      <c r="R344" s="4"/>
    </row>
    <row r="345" ht="17.25" customHeight="1">
      <c r="Q345" s="3"/>
      <c r="R345" s="4"/>
    </row>
    <row r="346" ht="17.25" customHeight="1">
      <c r="Q346" s="3"/>
      <c r="R346" s="4"/>
    </row>
    <row r="347" ht="17.25" customHeight="1">
      <c r="Q347" s="3"/>
      <c r="R347" s="4"/>
    </row>
    <row r="348" ht="17.25" customHeight="1">
      <c r="Q348" s="3"/>
      <c r="R348" s="4"/>
    </row>
    <row r="349" ht="17.25" customHeight="1">
      <c r="Q349" s="3"/>
      <c r="R349" s="4"/>
    </row>
    <row r="350" ht="17.25" customHeight="1">
      <c r="Q350" s="3"/>
      <c r="R350" s="4"/>
    </row>
    <row r="351" ht="17.25" customHeight="1">
      <c r="Q351" s="3"/>
      <c r="R351" s="4"/>
    </row>
    <row r="352" ht="17.25" customHeight="1">
      <c r="Q352" s="3"/>
      <c r="R352" s="4"/>
    </row>
    <row r="353" ht="17.25" customHeight="1">
      <c r="Q353" s="3"/>
      <c r="R353" s="4"/>
    </row>
    <row r="354" ht="17.25" customHeight="1">
      <c r="Q354" s="3"/>
      <c r="R354" s="4"/>
    </row>
    <row r="355" ht="17.25" customHeight="1">
      <c r="Q355" s="3"/>
      <c r="R355" s="4"/>
    </row>
    <row r="356" ht="17.25" customHeight="1">
      <c r="Q356" s="3"/>
      <c r="R356" s="4"/>
    </row>
    <row r="357" ht="17.25" customHeight="1">
      <c r="Q357" s="3"/>
      <c r="R357" s="4"/>
    </row>
    <row r="358" ht="17.25" customHeight="1">
      <c r="Q358" s="3"/>
      <c r="R358" s="4"/>
    </row>
    <row r="359" ht="17.25" customHeight="1">
      <c r="Q359" s="3"/>
      <c r="R359" s="4"/>
    </row>
    <row r="360" ht="17.25" customHeight="1">
      <c r="Q360" s="3"/>
      <c r="R360" s="4"/>
    </row>
    <row r="361" ht="17.25" customHeight="1">
      <c r="Q361" s="3"/>
      <c r="R361" s="4"/>
    </row>
    <row r="362" ht="17.25" customHeight="1">
      <c r="Q362" s="3"/>
      <c r="R362" s="4"/>
    </row>
    <row r="363" ht="17.25" customHeight="1">
      <c r="Q363" s="3"/>
      <c r="R363" s="4"/>
    </row>
    <row r="364" ht="17.25" customHeight="1">
      <c r="Q364" s="3"/>
      <c r="R364" s="4"/>
    </row>
    <row r="365" ht="17.25" customHeight="1">
      <c r="Q365" s="3"/>
      <c r="R365" s="4"/>
    </row>
    <row r="366" ht="17.25" customHeight="1">
      <c r="Q366" s="3"/>
      <c r="R366" s="4"/>
    </row>
    <row r="367" ht="17.25" customHeight="1">
      <c r="Q367" s="3"/>
      <c r="R367" s="4"/>
    </row>
    <row r="368" ht="17.25" customHeight="1">
      <c r="Q368" s="3"/>
      <c r="R368" s="4"/>
    </row>
    <row r="369" ht="17.25" customHeight="1">
      <c r="Q369" s="3"/>
      <c r="R369" s="4"/>
    </row>
    <row r="370" ht="17.25" customHeight="1">
      <c r="Q370" s="3"/>
      <c r="R370" s="4"/>
    </row>
    <row r="371" ht="17.25" customHeight="1">
      <c r="Q371" s="3"/>
      <c r="R371" s="4"/>
    </row>
    <row r="372" ht="17.25" customHeight="1">
      <c r="Q372" s="3"/>
      <c r="R372" s="4"/>
    </row>
    <row r="373" ht="17.25" customHeight="1">
      <c r="Q373" s="3"/>
      <c r="R373" s="4"/>
    </row>
    <row r="374" ht="17.25" customHeight="1">
      <c r="Q374" s="3"/>
      <c r="R374" s="4"/>
    </row>
    <row r="375" ht="17.25" customHeight="1">
      <c r="Q375" s="3"/>
      <c r="R375" s="4"/>
    </row>
    <row r="376" ht="17.25" customHeight="1">
      <c r="Q376" s="3"/>
      <c r="R376" s="4"/>
    </row>
    <row r="377" ht="17.25" customHeight="1">
      <c r="Q377" s="3"/>
      <c r="R377" s="4"/>
    </row>
    <row r="378" ht="17.25" customHeight="1">
      <c r="Q378" s="3"/>
      <c r="R378" s="4"/>
    </row>
    <row r="379" ht="17.25" customHeight="1">
      <c r="Q379" s="3"/>
      <c r="R379" s="4"/>
    </row>
    <row r="380" ht="17.25" customHeight="1">
      <c r="Q380" s="3"/>
      <c r="R380" s="4"/>
    </row>
    <row r="381" ht="17.25" customHeight="1">
      <c r="Q381" s="3"/>
      <c r="R381" s="4"/>
    </row>
    <row r="382" ht="17.25" customHeight="1">
      <c r="Q382" s="3"/>
      <c r="R382" s="4"/>
    </row>
    <row r="383" ht="17.25" customHeight="1">
      <c r="Q383" s="3"/>
      <c r="R383" s="4"/>
    </row>
    <row r="384" ht="17.25" customHeight="1">
      <c r="Q384" s="3"/>
      <c r="R384" s="4"/>
    </row>
    <row r="385" ht="17.25" customHeight="1">
      <c r="Q385" s="3"/>
      <c r="R385" s="4"/>
    </row>
    <row r="386" ht="17.25" customHeight="1">
      <c r="Q386" s="3"/>
      <c r="R386" s="4"/>
    </row>
    <row r="387" ht="17.25" customHeight="1">
      <c r="Q387" s="3"/>
      <c r="R387" s="4"/>
    </row>
    <row r="388" ht="17.25" customHeight="1">
      <c r="Q388" s="3"/>
      <c r="R388" s="4"/>
    </row>
    <row r="389" ht="17.25" customHeight="1">
      <c r="Q389" s="3"/>
      <c r="R389" s="4"/>
    </row>
    <row r="390" ht="17.25" customHeight="1">
      <c r="Q390" s="3"/>
      <c r="R390" s="4"/>
    </row>
    <row r="391" ht="17.25" customHeight="1">
      <c r="Q391" s="3"/>
      <c r="R391" s="4"/>
    </row>
    <row r="392" ht="17.25" customHeight="1">
      <c r="Q392" s="3"/>
      <c r="R392" s="4"/>
    </row>
    <row r="393" ht="17.25" customHeight="1">
      <c r="Q393" s="3"/>
      <c r="R393" s="4"/>
    </row>
    <row r="394" ht="17.25" customHeight="1">
      <c r="Q394" s="3"/>
      <c r="R394" s="4"/>
    </row>
    <row r="395" ht="17.25" customHeight="1">
      <c r="Q395" s="3"/>
      <c r="R395" s="4"/>
    </row>
    <row r="396" ht="17.25" customHeight="1">
      <c r="Q396" s="3"/>
      <c r="R396" s="4"/>
    </row>
    <row r="397" ht="17.25" customHeight="1">
      <c r="Q397" s="3"/>
      <c r="R397" s="4"/>
    </row>
    <row r="398" ht="17.25" customHeight="1">
      <c r="Q398" s="3"/>
      <c r="R398" s="4"/>
    </row>
    <row r="399" ht="17.25" customHeight="1">
      <c r="Q399" s="3"/>
      <c r="R399" s="4"/>
    </row>
    <row r="400" ht="17.25" customHeight="1">
      <c r="Q400" s="3"/>
      <c r="R400" s="4"/>
    </row>
    <row r="401" ht="17.25" customHeight="1">
      <c r="Q401" s="3"/>
      <c r="R401" s="4"/>
    </row>
    <row r="402" ht="17.25" customHeight="1">
      <c r="Q402" s="3"/>
      <c r="R402" s="4"/>
    </row>
    <row r="403" ht="17.25" customHeight="1">
      <c r="Q403" s="3"/>
      <c r="R403" s="4"/>
    </row>
    <row r="404" ht="17.25" customHeight="1">
      <c r="Q404" s="3"/>
      <c r="R404" s="4"/>
    </row>
    <row r="405" ht="17.25" customHeight="1">
      <c r="Q405" s="3"/>
      <c r="R405" s="4"/>
    </row>
    <row r="406" ht="17.25" customHeight="1">
      <c r="Q406" s="3"/>
      <c r="R406" s="4"/>
    </row>
    <row r="407" ht="17.25" customHeight="1">
      <c r="Q407" s="3"/>
      <c r="R407" s="4"/>
    </row>
    <row r="408" ht="17.25" customHeight="1">
      <c r="Q408" s="3"/>
      <c r="R408" s="4"/>
    </row>
    <row r="409" ht="17.25" customHeight="1">
      <c r="Q409" s="3"/>
      <c r="R409" s="4"/>
    </row>
    <row r="410" ht="17.25" customHeight="1">
      <c r="Q410" s="3"/>
      <c r="R410" s="4"/>
    </row>
    <row r="411" ht="17.25" customHeight="1">
      <c r="Q411" s="3"/>
      <c r="R411" s="4"/>
    </row>
    <row r="412" ht="17.25" customHeight="1">
      <c r="Q412" s="3"/>
      <c r="R412" s="4"/>
    </row>
    <row r="413" ht="17.25" customHeight="1">
      <c r="Q413" s="3"/>
      <c r="R413" s="4"/>
    </row>
    <row r="414" ht="17.25" customHeight="1">
      <c r="Q414" s="3"/>
      <c r="R414" s="4"/>
    </row>
    <row r="415" ht="17.25" customHeight="1">
      <c r="Q415" s="3"/>
      <c r="R415" s="4"/>
    </row>
    <row r="416" ht="17.25" customHeight="1">
      <c r="Q416" s="3"/>
      <c r="R416" s="4"/>
    </row>
    <row r="417" ht="17.25" customHeight="1">
      <c r="Q417" s="3"/>
      <c r="R417" s="4"/>
    </row>
    <row r="418" ht="17.25" customHeight="1">
      <c r="Q418" s="3"/>
      <c r="R418" s="4"/>
    </row>
    <row r="419" ht="17.25" customHeight="1">
      <c r="Q419" s="3"/>
      <c r="R419" s="4"/>
    </row>
    <row r="420" ht="17.25" customHeight="1">
      <c r="Q420" s="3"/>
      <c r="R420" s="4"/>
    </row>
    <row r="421" ht="17.25" customHeight="1">
      <c r="Q421" s="3"/>
      <c r="R421" s="4"/>
    </row>
    <row r="422" ht="17.25" customHeight="1">
      <c r="Q422" s="3"/>
      <c r="R422" s="4"/>
    </row>
    <row r="423" ht="17.25" customHeight="1">
      <c r="Q423" s="3"/>
      <c r="R423" s="4"/>
    </row>
    <row r="424" ht="17.25" customHeight="1">
      <c r="Q424" s="3"/>
      <c r="R424" s="4"/>
    </row>
    <row r="425" ht="17.25" customHeight="1">
      <c r="Q425" s="3"/>
      <c r="R425" s="4"/>
    </row>
    <row r="426" ht="17.25" customHeight="1">
      <c r="Q426" s="3"/>
      <c r="R426" s="4"/>
    </row>
    <row r="427" ht="17.25" customHeight="1">
      <c r="Q427" s="3"/>
      <c r="R427" s="4"/>
    </row>
    <row r="428" ht="17.25" customHeight="1">
      <c r="Q428" s="3"/>
      <c r="R428" s="4"/>
    </row>
    <row r="429" ht="17.25" customHeight="1">
      <c r="Q429" s="3"/>
      <c r="R429" s="4"/>
    </row>
    <row r="430" ht="17.25" customHeight="1">
      <c r="Q430" s="3"/>
      <c r="R430" s="4"/>
    </row>
    <row r="431" ht="17.25" customHeight="1">
      <c r="Q431" s="3"/>
      <c r="R431" s="4"/>
    </row>
    <row r="432" ht="17.25" customHeight="1">
      <c r="Q432" s="3"/>
      <c r="R432" s="4"/>
    </row>
    <row r="433" ht="17.25" customHeight="1">
      <c r="Q433" s="3"/>
      <c r="R433" s="4"/>
    </row>
    <row r="434" ht="17.25" customHeight="1">
      <c r="Q434" s="3"/>
      <c r="R434" s="4"/>
    </row>
    <row r="435" ht="17.25" customHeight="1">
      <c r="Q435" s="3"/>
      <c r="R435" s="4"/>
    </row>
    <row r="436" ht="17.25" customHeight="1">
      <c r="Q436" s="3"/>
      <c r="R436" s="4"/>
    </row>
    <row r="437" ht="17.25" customHeight="1">
      <c r="Q437" s="3"/>
      <c r="R437" s="4"/>
    </row>
    <row r="438" ht="17.25" customHeight="1">
      <c r="Q438" s="3"/>
      <c r="R438" s="4"/>
    </row>
    <row r="439" ht="17.25" customHeight="1">
      <c r="Q439" s="3"/>
      <c r="R439" s="4"/>
    </row>
    <row r="440" ht="17.25" customHeight="1">
      <c r="Q440" s="3"/>
      <c r="R440" s="4"/>
    </row>
    <row r="441" ht="17.25" customHeight="1">
      <c r="Q441" s="3"/>
      <c r="R441" s="4"/>
    </row>
    <row r="442" ht="17.25" customHeight="1">
      <c r="Q442" s="3"/>
      <c r="R442" s="4"/>
    </row>
    <row r="443" ht="17.25" customHeight="1">
      <c r="Q443" s="3"/>
      <c r="R443" s="4"/>
    </row>
    <row r="444" ht="17.25" customHeight="1">
      <c r="Q444" s="3"/>
      <c r="R444" s="4"/>
    </row>
    <row r="445" ht="17.25" customHeight="1">
      <c r="Q445" s="3"/>
      <c r="R445" s="4"/>
    </row>
    <row r="446" ht="17.25" customHeight="1">
      <c r="Q446" s="3"/>
      <c r="R446" s="4"/>
    </row>
    <row r="447" ht="17.25" customHeight="1">
      <c r="Q447" s="3"/>
      <c r="R447" s="4"/>
    </row>
    <row r="448" ht="17.25" customHeight="1">
      <c r="Q448" s="3"/>
      <c r="R448" s="4"/>
    </row>
    <row r="449" ht="17.25" customHeight="1">
      <c r="Q449" s="3"/>
      <c r="R449" s="4"/>
    </row>
    <row r="450" ht="17.25" customHeight="1">
      <c r="Q450" s="3"/>
      <c r="R450" s="4"/>
    </row>
    <row r="451" ht="17.25" customHeight="1">
      <c r="Q451" s="3"/>
      <c r="R451" s="4"/>
    </row>
    <row r="452" ht="17.25" customHeight="1">
      <c r="Q452" s="3"/>
      <c r="R452" s="4"/>
    </row>
    <row r="453" ht="17.25" customHeight="1">
      <c r="Q453" s="3"/>
      <c r="R453" s="4"/>
    </row>
    <row r="454" ht="17.25" customHeight="1">
      <c r="Q454" s="3"/>
      <c r="R454" s="4"/>
    </row>
    <row r="455" ht="17.25" customHeight="1">
      <c r="Q455" s="3"/>
      <c r="R455" s="4"/>
    </row>
    <row r="456" ht="17.25" customHeight="1">
      <c r="Q456" s="3"/>
      <c r="R456" s="4"/>
    </row>
    <row r="457" ht="17.25" customHeight="1">
      <c r="Q457" s="3"/>
      <c r="R457" s="4"/>
    </row>
    <row r="458" ht="17.25" customHeight="1">
      <c r="Q458" s="3"/>
      <c r="R458" s="4"/>
    </row>
    <row r="459" ht="17.25" customHeight="1">
      <c r="Q459" s="3"/>
      <c r="R459" s="4"/>
    </row>
    <row r="460" ht="17.25" customHeight="1">
      <c r="Q460" s="3"/>
      <c r="R460" s="4"/>
    </row>
    <row r="461" ht="17.25" customHeight="1">
      <c r="Q461" s="3"/>
      <c r="R461" s="4"/>
    </row>
    <row r="462" ht="17.25" customHeight="1">
      <c r="Q462" s="3"/>
      <c r="R462" s="4"/>
    </row>
    <row r="463" ht="17.25" customHeight="1">
      <c r="Q463" s="3"/>
      <c r="R463" s="4"/>
    </row>
    <row r="464" ht="17.25" customHeight="1">
      <c r="Q464" s="3"/>
      <c r="R464" s="4"/>
    </row>
    <row r="465" ht="17.25" customHeight="1">
      <c r="Q465" s="3"/>
      <c r="R465" s="4"/>
    </row>
    <row r="466" ht="17.25" customHeight="1">
      <c r="Q466" s="3"/>
      <c r="R466" s="4"/>
    </row>
    <row r="467" ht="17.25" customHeight="1">
      <c r="Q467" s="3"/>
      <c r="R467" s="4"/>
    </row>
    <row r="468" ht="17.25" customHeight="1">
      <c r="Q468" s="3"/>
      <c r="R468" s="4"/>
    </row>
    <row r="469" ht="17.25" customHeight="1">
      <c r="Q469" s="3"/>
      <c r="R469" s="4"/>
    </row>
    <row r="470" ht="17.25" customHeight="1">
      <c r="Q470" s="3"/>
      <c r="R470" s="4"/>
    </row>
    <row r="471" ht="17.25" customHeight="1">
      <c r="Q471" s="3"/>
      <c r="R471" s="4"/>
    </row>
    <row r="472" ht="17.25" customHeight="1">
      <c r="Q472" s="3"/>
      <c r="R472" s="4"/>
    </row>
    <row r="473" ht="17.25" customHeight="1">
      <c r="Q473" s="3"/>
      <c r="R473" s="4"/>
    </row>
    <row r="474" ht="17.25" customHeight="1">
      <c r="Q474" s="3"/>
      <c r="R474" s="4"/>
    </row>
    <row r="475" ht="17.25" customHeight="1">
      <c r="Q475" s="3"/>
      <c r="R475" s="4"/>
    </row>
    <row r="476" ht="17.25" customHeight="1">
      <c r="Q476" s="3"/>
      <c r="R476" s="4"/>
    </row>
    <row r="477" ht="17.25" customHeight="1">
      <c r="Q477" s="3"/>
      <c r="R477" s="4"/>
    </row>
    <row r="478" ht="17.25" customHeight="1">
      <c r="Q478" s="3"/>
      <c r="R478" s="4"/>
    </row>
    <row r="479" ht="17.25" customHeight="1">
      <c r="Q479" s="3"/>
      <c r="R479" s="4"/>
    </row>
    <row r="480" ht="17.25" customHeight="1">
      <c r="Q480" s="3"/>
      <c r="R480" s="4"/>
    </row>
    <row r="481" ht="17.25" customHeight="1">
      <c r="Q481" s="3"/>
      <c r="R481" s="4"/>
    </row>
    <row r="482" ht="17.25" customHeight="1">
      <c r="Q482" s="3"/>
      <c r="R482" s="4"/>
    </row>
    <row r="483" ht="17.25" customHeight="1">
      <c r="Q483" s="3"/>
      <c r="R483" s="4"/>
    </row>
    <row r="484" ht="17.25" customHeight="1">
      <c r="Q484" s="3"/>
      <c r="R484" s="4"/>
    </row>
    <row r="485" ht="17.25" customHeight="1">
      <c r="Q485" s="3"/>
      <c r="R485" s="4"/>
    </row>
    <row r="486" ht="17.25" customHeight="1">
      <c r="Q486" s="3"/>
      <c r="R486" s="4"/>
    </row>
    <row r="487" ht="17.25" customHeight="1">
      <c r="Q487" s="3"/>
      <c r="R487" s="4"/>
    </row>
    <row r="488" ht="17.25" customHeight="1">
      <c r="Q488" s="3"/>
      <c r="R488" s="4"/>
    </row>
    <row r="489" ht="17.25" customHeight="1">
      <c r="Q489" s="3"/>
      <c r="R489" s="4"/>
    </row>
    <row r="490" ht="17.25" customHeight="1">
      <c r="Q490" s="3"/>
      <c r="R490" s="4"/>
    </row>
    <row r="491" ht="17.25" customHeight="1">
      <c r="Q491" s="3"/>
      <c r="R491" s="4"/>
    </row>
    <row r="492" ht="17.25" customHeight="1">
      <c r="Q492" s="3"/>
      <c r="R492" s="4"/>
    </row>
    <row r="493" ht="17.25" customHeight="1">
      <c r="Q493" s="3"/>
      <c r="R493" s="4"/>
    </row>
    <row r="494" ht="17.25" customHeight="1">
      <c r="Q494" s="3"/>
      <c r="R494" s="4"/>
    </row>
    <row r="495" ht="17.25" customHeight="1">
      <c r="Q495" s="3"/>
      <c r="R495" s="4"/>
    </row>
    <row r="496" ht="17.25" customHeight="1">
      <c r="Q496" s="3"/>
      <c r="R496" s="4"/>
    </row>
    <row r="497" ht="17.25" customHeight="1">
      <c r="Q497" s="3"/>
      <c r="R497" s="4"/>
    </row>
    <row r="498" ht="17.25" customHeight="1">
      <c r="Q498" s="3"/>
      <c r="R498" s="4"/>
    </row>
    <row r="499" ht="17.25" customHeight="1">
      <c r="Q499" s="3"/>
      <c r="R499" s="4"/>
    </row>
    <row r="500" ht="17.25" customHeight="1">
      <c r="Q500" s="3"/>
      <c r="R500" s="4"/>
    </row>
    <row r="501" ht="17.25" customHeight="1">
      <c r="Q501" s="3"/>
      <c r="R501" s="4"/>
    </row>
    <row r="502" ht="17.25" customHeight="1">
      <c r="Q502" s="3"/>
      <c r="R502" s="4"/>
    </row>
    <row r="503" ht="17.25" customHeight="1">
      <c r="Q503" s="3"/>
      <c r="R503" s="4"/>
    </row>
    <row r="504" ht="17.25" customHeight="1">
      <c r="Q504" s="3"/>
      <c r="R504" s="4"/>
    </row>
    <row r="505" ht="17.25" customHeight="1">
      <c r="Q505" s="3"/>
      <c r="R505" s="4"/>
    </row>
    <row r="506" ht="17.25" customHeight="1">
      <c r="Q506" s="3"/>
      <c r="R506" s="4"/>
    </row>
    <row r="507" ht="17.25" customHeight="1">
      <c r="Q507" s="3"/>
      <c r="R507" s="4"/>
    </row>
    <row r="508" ht="17.25" customHeight="1">
      <c r="Q508" s="3"/>
      <c r="R508" s="4"/>
    </row>
    <row r="509" ht="17.25" customHeight="1">
      <c r="Q509" s="3"/>
      <c r="R509" s="4"/>
    </row>
    <row r="510" ht="17.25" customHeight="1">
      <c r="Q510" s="3"/>
      <c r="R510" s="4"/>
    </row>
    <row r="511" ht="17.25" customHeight="1">
      <c r="Q511" s="3"/>
      <c r="R511" s="4"/>
    </row>
    <row r="512" ht="17.25" customHeight="1">
      <c r="Q512" s="3"/>
      <c r="R512" s="4"/>
    </row>
    <row r="513" ht="17.25" customHeight="1">
      <c r="Q513" s="3"/>
      <c r="R513" s="4"/>
    </row>
    <row r="514" ht="17.25" customHeight="1">
      <c r="Q514" s="3"/>
      <c r="R514" s="4"/>
    </row>
    <row r="515" ht="17.25" customHeight="1">
      <c r="Q515" s="3"/>
      <c r="R515" s="4"/>
    </row>
    <row r="516" ht="17.25" customHeight="1">
      <c r="Q516" s="3"/>
      <c r="R516" s="4"/>
    </row>
    <row r="517" ht="17.25" customHeight="1">
      <c r="Q517" s="3"/>
      <c r="R517" s="4"/>
    </row>
    <row r="518" ht="17.25" customHeight="1">
      <c r="Q518" s="3"/>
      <c r="R518" s="4"/>
    </row>
    <row r="519" ht="17.25" customHeight="1">
      <c r="Q519" s="3"/>
      <c r="R519" s="4"/>
    </row>
    <row r="520" ht="17.25" customHeight="1">
      <c r="Q520" s="3"/>
      <c r="R520" s="4"/>
    </row>
    <row r="521" ht="17.25" customHeight="1">
      <c r="Q521" s="3"/>
      <c r="R521" s="4"/>
    </row>
    <row r="522" ht="17.25" customHeight="1">
      <c r="Q522" s="3"/>
      <c r="R522" s="4"/>
    </row>
    <row r="523" ht="17.25" customHeight="1">
      <c r="Q523" s="3"/>
      <c r="R523" s="4"/>
    </row>
    <row r="524" ht="17.25" customHeight="1">
      <c r="Q524" s="3"/>
      <c r="R524" s="4"/>
    </row>
    <row r="525" ht="17.25" customHeight="1">
      <c r="Q525" s="3"/>
      <c r="R525" s="4"/>
    </row>
    <row r="526" ht="17.25" customHeight="1">
      <c r="Q526" s="3"/>
      <c r="R526" s="4"/>
    </row>
    <row r="527" ht="17.25" customHeight="1">
      <c r="Q527" s="3"/>
      <c r="R527" s="4"/>
    </row>
    <row r="528" ht="17.25" customHeight="1">
      <c r="Q528" s="3"/>
      <c r="R528" s="4"/>
    </row>
    <row r="529" ht="17.25" customHeight="1">
      <c r="Q529" s="3"/>
      <c r="R529" s="4"/>
    </row>
    <row r="530" ht="17.25" customHeight="1">
      <c r="Q530" s="3"/>
      <c r="R530" s="4"/>
    </row>
    <row r="531" ht="17.25" customHeight="1">
      <c r="Q531" s="3"/>
      <c r="R531" s="4"/>
    </row>
    <row r="532" ht="17.25" customHeight="1">
      <c r="Q532" s="3"/>
      <c r="R532" s="4"/>
    </row>
    <row r="533" ht="17.25" customHeight="1">
      <c r="Q533" s="3"/>
      <c r="R533" s="4"/>
    </row>
    <row r="534" ht="17.25" customHeight="1">
      <c r="Q534" s="3"/>
      <c r="R534" s="4"/>
    </row>
    <row r="535" ht="17.25" customHeight="1">
      <c r="Q535" s="3"/>
      <c r="R535" s="4"/>
    </row>
    <row r="536" ht="17.25" customHeight="1">
      <c r="Q536" s="3"/>
      <c r="R536" s="4"/>
    </row>
    <row r="537" ht="17.25" customHeight="1">
      <c r="Q537" s="3"/>
      <c r="R537" s="4"/>
    </row>
    <row r="538" ht="17.25" customHeight="1">
      <c r="Q538" s="3"/>
      <c r="R538" s="4"/>
    </row>
    <row r="539" ht="17.25" customHeight="1">
      <c r="Q539" s="3"/>
      <c r="R539" s="4"/>
    </row>
    <row r="540" ht="17.25" customHeight="1">
      <c r="Q540" s="3"/>
      <c r="R540" s="4"/>
    </row>
    <row r="541" ht="17.25" customHeight="1">
      <c r="Q541" s="3"/>
      <c r="R541" s="4"/>
    </row>
    <row r="542" ht="17.25" customHeight="1">
      <c r="Q542" s="3"/>
      <c r="R542" s="4"/>
    </row>
    <row r="543" ht="17.25" customHeight="1">
      <c r="Q543" s="3"/>
      <c r="R543" s="4"/>
    </row>
    <row r="544" ht="17.25" customHeight="1">
      <c r="Q544" s="3"/>
      <c r="R544" s="4"/>
    </row>
    <row r="545" ht="17.25" customHeight="1">
      <c r="Q545" s="3"/>
      <c r="R545" s="4"/>
    </row>
    <row r="546" ht="17.25" customHeight="1">
      <c r="Q546" s="3"/>
      <c r="R546" s="4"/>
    </row>
    <row r="547" ht="17.25" customHeight="1">
      <c r="Q547" s="3"/>
      <c r="R547" s="4"/>
    </row>
    <row r="548" ht="17.25" customHeight="1">
      <c r="Q548" s="3"/>
      <c r="R548" s="4"/>
    </row>
    <row r="549" ht="17.25" customHeight="1">
      <c r="Q549" s="3"/>
      <c r="R549" s="4"/>
    </row>
    <row r="550" ht="17.25" customHeight="1">
      <c r="Q550" s="3"/>
      <c r="R550" s="4"/>
    </row>
    <row r="551" ht="17.25" customHeight="1">
      <c r="Q551" s="3"/>
      <c r="R551" s="4"/>
    </row>
    <row r="552" ht="17.25" customHeight="1">
      <c r="Q552" s="3"/>
      <c r="R552" s="4"/>
    </row>
    <row r="553" ht="17.25" customHeight="1">
      <c r="Q553" s="3"/>
      <c r="R553" s="4"/>
    </row>
    <row r="554" ht="17.25" customHeight="1">
      <c r="Q554" s="3"/>
      <c r="R554" s="4"/>
    </row>
    <row r="555" ht="17.25" customHeight="1">
      <c r="Q555" s="3"/>
      <c r="R555" s="4"/>
    </row>
    <row r="556" ht="17.25" customHeight="1">
      <c r="Q556" s="3"/>
      <c r="R556" s="4"/>
    </row>
    <row r="557" ht="17.25" customHeight="1">
      <c r="Q557" s="3"/>
      <c r="R557" s="4"/>
    </row>
    <row r="558" ht="17.25" customHeight="1">
      <c r="Q558" s="3"/>
      <c r="R558" s="4"/>
    </row>
    <row r="559" ht="17.25" customHeight="1">
      <c r="Q559" s="3"/>
      <c r="R559" s="4"/>
    </row>
    <row r="560" ht="17.25" customHeight="1">
      <c r="Q560" s="3"/>
      <c r="R560" s="4"/>
    </row>
    <row r="561" ht="17.25" customHeight="1">
      <c r="Q561" s="3"/>
      <c r="R561" s="4"/>
    </row>
    <row r="562" ht="17.25" customHeight="1">
      <c r="Q562" s="3"/>
      <c r="R562" s="4"/>
    </row>
    <row r="563" ht="17.25" customHeight="1">
      <c r="Q563" s="3"/>
      <c r="R563" s="4"/>
    </row>
    <row r="564" ht="17.25" customHeight="1">
      <c r="Q564" s="3"/>
      <c r="R564" s="4"/>
    </row>
    <row r="565" ht="17.25" customHeight="1">
      <c r="Q565" s="3"/>
      <c r="R565" s="4"/>
    </row>
    <row r="566" ht="17.25" customHeight="1">
      <c r="Q566" s="3"/>
      <c r="R566" s="4"/>
    </row>
    <row r="567" ht="17.25" customHeight="1">
      <c r="Q567" s="3"/>
      <c r="R567" s="4"/>
    </row>
    <row r="568" ht="17.25" customHeight="1">
      <c r="Q568" s="3"/>
      <c r="R568" s="4"/>
    </row>
    <row r="569" ht="17.25" customHeight="1">
      <c r="Q569" s="3"/>
      <c r="R569" s="4"/>
    </row>
    <row r="570" ht="17.25" customHeight="1">
      <c r="Q570" s="3"/>
      <c r="R570" s="4"/>
    </row>
    <row r="571" ht="17.25" customHeight="1">
      <c r="Q571" s="3"/>
      <c r="R571" s="4"/>
    </row>
    <row r="572" ht="17.25" customHeight="1">
      <c r="Q572" s="3"/>
      <c r="R572" s="4"/>
    </row>
    <row r="573" ht="17.25" customHeight="1">
      <c r="Q573" s="3"/>
      <c r="R573" s="4"/>
    </row>
    <row r="574" ht="17.25" customHeight="1">
      <c r="Q574" s="3"/>
      <c r="R574" s="4"/>
    </row>
    <row r="575" ht="17.25" customHeight="1">
      <c r="Q575" s="3"/>
      <c r="R575" s="4"/>
    </row>
    <row r="576" ht="17.25" customHeight="1">
      <c r="Q576" s="3"/>
      <c r="R576" s="4"/>
    </row>
    <row r="577" ht="17.25" customHeight="1">
      <c r="Q577" s="3"/>
      <c r="R577" s="4"/>
    </row>
    <row r="578" ht="17.25" customHeight="1">
      <c r="Q578" s="3"/>
      <c r="R578" s="4"/>
    </row>
    <row r="579" ht="17.25" customHeight="1">
      <c r="Q579" s="3"/>
      <c r="R579" s="4"/>
    </row>
    <row r="580" ht="17.25" customHeight="1">
      <c r="Q580" s="3"/>
      <c r="R580" s="4"/>
    </row>
    <row r="581" ht="17.25" customHeight="1">
      <c r="Q581" s="3"/>
      <c r="R581" s="4"/>
    </row>
    <row r="582" ht="17.25" customHeight="1">
      <c r="Q582" s="3"/>
      <c r="R582" s="4"/>
    </row>
    <row r="583" ht="17.25" customHeight="1">
      <c r="Q583" s="3"/>
      <c r="R583" s="4"/>
    </row>
    <row r="584" ht="17.25" customHeight="1">
      <c r="Q584" s="3"/>
      <c r="R584" s="4"/>
    </row>
    <row r="585" ht="17.25" customHeight="1">
      <c r="Q585" s="3"/>
      <c r="R585" s="4"/>
    </row>
    <row r="586" ht="17.25" customHeight="1">
      <c r="Q586" s="3"/>
      <c r="R586" s="4"/>
    </row>
    <row r="587" ht="17.25" customHeight="1">
      <c r="Q587" s="3"/>
      <c r="R587" s="4"/>
    </row>
    <row r="588" ht="17.25" customHeight="1">
      <c r="Q588" s="3"/>
      <c r="R588" s="4"/>
    </row>
    <row r="589" ht="17.25" customHeight="1">
      <c r="Q589" s="3"/>
      <c r="R589" s="4"/>
    </row>
    <row r="590" ht="17.25" customHeight="1">
      <c r="Q590" s="3"/>
      <c r="R590" s="4"/>
    </row>
    <row r="591" ht="17.25" customHeight="1">
      <c r="Q591" s="3"/>
      <c r="R591" s="4"/>
    </row>
    <row r="592" ht="17.25" customHeight="1">
      <c r="Q592" s="3"/>
      <c r="R592" s="4"/>
    </row>
    <row r="593" ht="17.25" customHeight="1">
      <c r="Q593" s="3"/>
      <c r="R593" s="4"/>
    </row>
    <row r="594" ht="17.25" customHeight="1">
      <c r="Q594" s="3"/>
      <c r="R594" s="4"/>
    </row>
    <row r="595" ht="17.25" customHeight="1">
      <c r="Q595" s="3"/>
      <c r="R595" s="4"/>
    </row>
    <row r="596" ht="17.25" customHeight="1">
      <c r="Q596" s="3"/>
      <c r="R596" s="4"/>
    </row>
    <row r="597" ht="17.25" customHeight="1">
      <c r="Q597" s="3"/>
      <c r="R597" s="4"/>
    </row>
    <row r="598" ht="17.25" customHeight="1">
      <c r="Q598" s="3"/>
      <c r="R598" s="4"/>
    </row>
    <row r="599" ht="17.25" customHeight="1">
      <c r="Q599" s="3"/>
      <c r="R599" s="4"/>
    </row>
    <row r="600" ht="17.25" customHeight="1">
      <c r="Q600" s="3"/>
      <c r="R600" s="4"/>
    </row>
    <row r="601" ht="17.25" customHeight="1">
      <c r="Q601" s="3"/>
      <c r="R601" s="4"/>
    </row>
    <row r="602" ht="17.25" customHeight="1">
      <c r="Q602" s="3"/>
      <c r="R602" s="4"/>
    </row>
    <row r="603" ht="17.25" customHeight="1">
      <c r="Q603" s="3"/>
      <c r="R603" s="4"/>
    </row>
    <row r="604" ht="17.25" customHeight="1">
      <c r="Q604" s="3"/>
      <c r="R604" s="4"/>
    </row>
    <row r="605" ht="17.25" customHeight="1">
      <c r="Q605" s="3"/>
      <c r="R605" s="4"/>
    </row>
    <row r="606" ht="17.25" customHeight="1">
      <c r="Q606" s="3"/>
      <c r="R606" s="4"/>
    </row>
    <row r="607" ht="17.25" customHeight="1">
      <c r="Q607" s="3"/>
      <c r="R607" s="4"/>
    </row>
    <row r="608" ht="17.25" customHeight="1">
      <c r="Q608" s="3"/>
      <c r="R608" s="4"/>
    </row>
    <row r="609" ht="17.25" customHeight="1">
      <c r="Q609" s="3"/>
      <c r="R609" s="4"/>
    </row>
    <row r="610" ht="17.25" customHeight="1">
      <c r="Q610" s="3"/>
      <c r="R610" s="4"/>
    </row>
    <row r="611" ht="17.25" customHeight="1">
      <c r="Q611" s="3"/>
      <c r="R611" s="4"/>
    </row>
    <row r="612" ht="17.25" customHeight="1">
      <c r="Q612" s="3"/>
      <c r="R612" s="4"/>
    </row>
    <row r="613" ht="17.25" customHeight="1">
      <c r="Q613" s="3"/>
      <c r="R613" s="4"/>
    </row>
    <row r="614" ht="17.25" customHeight="1">
      <c r="Q614" s="3"/>
      <c r="R614" s="4"/>
    </row>
    <row r="615" ht="17.25" customHeight="1">
      <c r="Q615" s="3"/>
      <c r="R615" s="4"/>
    </row>
    <row r="616" ht="17.25" customHeight="1">
      <c r="Q616" s="3"/>
      <c r="R616" s="4"/>
    </row>
    <row r="617" ht="17.25" customHeight="1">
      <c r="Q617" s="3"/>
      <c r="R617" s="4"/>
    </row>
    <row r="618" ht="17.25" customHeight="1">
      <c r="Q618" s="3"/>
      <c r="R618" s="4"/>
    </row>
    <row r="619" ht="17.25" customHeight="1">
      <c r="Q619" s="3"/>
      <c r="R619" s="4"/>
    </row>
    <row r="620" ht="17.25" customHeight="1">
      <c r="Q620" s="3"/>
      <c r="R620" s="4"/>
    </row>
    <row r="621" ht="17.25" customHeight="1">
      <c r="Q621" s="3"/>
      <c r="R621" s="4"/>
    </row>
    <row r="622" ht="17.25" customHeight="1">
      <c r="Q622" s="3"/>
      <c r="R622" s="4"/>
    </row>
    <row r="623" ht="17.25" customHeight="1">
      <c r="Q623" s="3"/>
      <c r="R623" s="4"/>
    </row>
    <row r="624" ht="17.25" customHeight="1">
      <c r="Q624" s="3"/>
      <c r="R624" s="4"/>
    </row>
    <row r="625" ht="17.25" customHeight="1">
      <c r="Q625" s="3"/>
      <c r="R625" s="4"/>
    </row>
    <row r="626" ht="17.25" customHeight="1">
      <c r="Q626" s="3"/>
      <c r="R626" s="4"/>
    </row>
    <row r="627" ht="17.25" customHeight="1">
      <c r="Q627" s="3"/>
      <c r="R627" s="4"/>
    </row>
    <row r="628" ht="17.25" customHeight="1">
      <c r="Q628" s="3"/>
      <c r="R628" s="4"/>
    </row>
    <row r="629" ht="17.25" customHeight="1">
      <c r="Q629" s="3"/>
      <c r="R629" s="4"/>
    </row>
    <row r="630" ht="17.25" customHeight="1">
      <c r="Q630" s="3"/>
      <c r="R630" s="4"/>
    </row>
    <row r="631" ht="17.25" customHeight="1">
      <c r="Q631" s="3"/>
      <c r="R631" s="4"/>
    </row>
    <row r="632" ht="17.25" customHeight="1">
      <c r="Q632" s="3"/>
      <c r="R632" s="4"/>
    </row>
    <row r="633" ht="17.25" customHeight="1">
      <c r="Q633" s="3"/>
      <c r="R633" s="4"/>
    </row>
    <row r="634" ht="17.25" customHeight="1">
      <c r="Q634" s="3"/>
      <c r="R634" s="4"/>
    </row>
    <row r="635" ht="17.25" customHeight="1">
      <c r="Q635" s="3"/>
      <c r="R635" s="4"/>
    </row>
    <row r="636" ht="17.25" customHeight="1">
      <c r="Q636" s="3"/>
      <c r="R636" s="4"/>
    </row>
    <row r="637" ht="17.25" customHeight="1">
      <c r="Q637" s="3"/>
      <c r="R637" s="4"/>
    </row>
    <row r="638" ht="17.25" customHeight="1">
      <c r="Q638" s="3"/>
      <c r="R638" s="4"/>
    </row>
    <row r="639" ht="17.25" customHeight="1">
      <c r="Q639" s="3"/>
      <c r="R639" s="4"/>
    </row>
    <row r="640" ht="17.25" customHeight="1">
      <c r="Q640" s="3"/>
      <c r="R640" s="4"/>
    </row>
    <row r="641" ht="17.25" customHeight="1">
      <c r="Q641" s="3"/>
      <c r="R641" s="4"/>
    </row>
    <row r="642" ht="17.25" customHeight="1">
      <c r="Q642" s="3"/>
      <c r="R642" s="4"/>
    </row>
    <row r="643" ht="17.25" customHeight="1">
      <c r="Q643" s="3"/>
      <c r="R643" s="4"/>
    </row>
    <row r="644" ht="17.25" customHeight="1">
      <c r="Q644" s="3"/>
      <c r="R644" s="4"/>
    </row>
    <row r="645" ht="17.25" customHeight="1">
      <c r="Q645" s="3"/>
      <c r="R645" s="4"/>
    </row>
    <row r="646" ht="17.25" customHeight="1">
      <c r="Q646" s="3"/>
      <c r="R646" s="4"/>
    </row>
    <row r="647" ht="17.25" customHeight="1">
      <c r="Q647" s="3"/>
      <c r="R647" s="4"/>
    </row>
    <row r="648" ht="17.25" customHeight="1">
      <c r="Q648" s="3"/>
      <c r="R648" s="4"/>
    </row>
    <row r="649" ht="17.25" customHeight="1">
      <c r="Q649" s="3"/>
      <c r="R649" s="4"/>
    </row>
    <row r="650" ht="17.25" customHeight="1">
      <c r="Q650" s="3"/>
      <c r="R650" s="4"/>
    </row>
    <row r="651" ht="17.25" customHeight="1">
      <c r="Q651" s="3"/>
      <c r="R651" s="4"/>
    </row>
    <row r="652" ht="17.25" customHeight="1">
      <c r="Q652" s="3"/>
      <c r="R652" s="4"/>
    </row>
    <row r="653" ht="17.25" customHeight="1">
      <c r="Q653" s="3"/>
      <c r="R653" s="4"/>
    </row>
    <row r="654" ht="17.25" customHeight="1">
      <c r="Q654" s="3"/>
      <c r="R654" s="4"/>
    </row>
    <row r="655" ht="17.25" customHeight="1">
      <c r="Q655" s="3"/>
      <c r="R655" s="4"/>
    </row>
    <row r="656" ht="17.25" customHeight="1">
      <c r="Q656" s="3"/>
      <c r="R656" s="4"/>
    </row>
    <row r="657" ht="17.25" customHeight="1">
      <c r="Q657" s="3"/>
      <c r="R657" s="4"/>
    </row>
    <row r="658" ht="17.25" customHeight="1">
      <c r="Q658" s="3"/>
      <c r="R658" s="4"/>
    </row>
    <row r="659" ht="17.25" customHeight="1">
      <c r="Q659" s="3"/>
      <c r="R659" s="4"/>
    </row>
    <row r="660" ht="17.25" customHeight="1">
      <c r="Q660" s="3"/>
      <c r="R660" s="4"/>
    </row>
    <row r="661" ht="17.25" customHeight="1">
      <c r="Q661" s="3"/>
      <c r="R661" s="4"/>
    </row>
    <row r="662" ht="17.25" customHeight="1">
      <c r="Q662" s="3"/>
      <c r="R662" s="4"/>
    </row>
    <row r="663" ht="17.25" customHeight="1">
      <c r="Q663" s="3"/>
      <c r="R663" s="4"/>
    </row>
    <row r="664" ht="17.25" customHeight="1">
      <c r="Q664" s="3"/>
      <c r="R664" s="4"/>
    </row>
    <row r="665" ht="17.25" customHeight="1">
      <c r="Q665" s="3"/>
      <c r="R665" s="4"/>
    </row>
    <row r="666" ht="17.25" customHeight="1">
      <c r="Q666" s="3"/>
      <c r="R666" s="4"/>
    </row>
    <row r="667" ht="17.25" customHeight="1">
      <c r="Q667" s="3"/>
      <c r="R667" s="4"/>
    </row>
    <row r="668" ht="17.25" customHeight="1">
      <c r="Q668" s="3"/>
      <c r="R668" s="4"/>
    </row>
    <row r="669" ht="17.25" customHeight="1">
      <c r="Q669" s="3"/>
      <c r="R669" s="4"/>
    </row>
    <row r="670" ht="17.25" customHeight="1">
      <c r="Q670" s="3"/>
      <c r="R670" s="4"/>
    </row>
    <row r="671" ht="17.25" customHeight="1">
      <c r="Q671" s="3"/>
      <c r="R671" s="4"/>
    </row>
    <row r="672" ht="17.25" customHeight="1">
      <c r="Q672" s="3"/>
      <c r="R672" s="4"/>
    </row>
    <row r="673" ht="17.25" customHeight="1">
      <c r="Q673" s="3"/>
      <c r="R673" s="4"/>
    </row>
    <row r="674" ht="17.25" customHeight="1">
      <c r="Q674" s="3"/>
      <c r="R674" s="4"/>
    </row>
    <row r="675" ht="17.25" customHeight="1">
      <c r="Q675" s="3"/>
      <c r="R675" s="4"/>
    </row>
    <row r="676" ht="17.25" customHeight="1">
      <c r="Q676" s="3"/>
      <c r="R676" s="4"/>
    </row>
    <row r="677" ht="17.25" customHeight="1">
      <c r="Q677" s="3"/>
      <c r="R677" s="4"/>
    </row>
    <row r="678" ht="17.25" customHeight="1">
      <c r="Q678" s="3"/>
      <c r="R678" s="4"/>
    </row>
    <row r="679" ht="17.25" customHeight="1">
      <c r="Q679" s="3"/>
      <c r="R679" s="4"/>
    </row>
    <row r="680" ht="17.25" customHeight="1">
      <c r="Q680" s="3"/>
      <c r="R680" s="4"/>
    </row>
    <row r="681" ht="17.25" customHeight="1">
      <c r="Q681" s="3"/>
      <c r="R681" s="4"/>
    </row>
    <row r="682" ht="17.25" customHeight="1">
      <c r="Q682" s="3"/>
      <c r="R682" s="4"/>
    </row>
    <row r="683" ht="17.25" customHeight="1">
      <c r="Q683" s="3"/>
      <c r="R683" s="4"/>
    </row>
    <row r="684" ht="17.25" customHeight="1">
      <c r="Q684" s="3"/>
      <c r="R684" s="4"/>
    </row>
    <row r="685" ht="17.25" customHeight="1">
      <c r="Q685" s="3"/>
      <c r="R685" s="4"/>
    </row>
    <row r="686" ht="17.25" customHeight="1">
      <c r="Q686" s="3"/>
      <c r="R686" s="4"/>
    </row>
    <row r="687" ht="17.25" customHeight="1">
      <c r="Q687" s="3"/>
      <c r="R687" s="4"/>
    </row>
    <row r="688" ht="17.25" customHeight="1">
      <c r="Q688" s="3"/>
      <c r="R688" s="4"/>
    </row>
    <row r="689" ht="17.25" customHeight="1">
      <c r="Q689" s="3"/>
      <c r="R689" s="4"/>
    </row>
    <row r="690" ht="17.25" customHeight="1">
      <c r="Q690" s="3"/>
      <c r="R690" s="4"/>
    </row>
    <row r="691" ht="17.25" customHeight="1">
      <c r="Q691" s="3"/>
      <c r="R691" s="4"/>
    </row>
    <row r="692" ht="17.25" customHeight="1">
      <c r="Q692" s="3"/>
      <c r="R692" s="4"/>
    </row>
    <row r="693" ht="17.25" customHeight="1">
      <c r="Q693" s="3"/>
      <c r="R693" s="4"/>
    </row>
    <row r="694" ht="17.25" customHeight="1">
      <c r="Q694" s="3"/>
      <c r="R694" s="4"/>
    </row>
    <row r="695" ht="17.25" customHeight="1">
      <c r="Q695" s="3"/>
      <c r="R695" s="4"/>
    </row>
    <row r="696" ht="17.25" customHeight="1">
      <c r="Q696" s="3"/>
      <c r="R696" s="4"/>
    </row>
    <row r="697" ht="17.25" customHeight="1">
      <c r="Q697" s="3"/>
      <c r="R697" s="4"/>
    </row>
    <row r="698" ht="17.25" customHeight="1">
      <c r="Q698" s="3"/>
      <c r="R698" s="4"/>
    </row>
    <row r="699" ht="17.25" customHeight="1">
      <c r="Q699" s="3"/>
      <c r="R699" s="4"/>
    </row>
    <row r="700" ht="17.25" customHeight="1">
      <c r="Q700" s="3"/>
      <c r="R700" s="4"/>
    </row>
    <row r="701" ht="17.25" customHeight="1">
      <c r="Q701" s="3"/>
      <c r="R701" s="4"/>
    </row>
    <row r="702" ht="17.25" customHeight="1">
      <c r="Q702" s="3"/>
      <c r="R702" s="4"/>
    </row>
    <row r="703" ht="17.25" customHeight="1">
      <c r="Q703" s="3"/>
      <c r="R703" s="4"/>
    </row>
    <row r="704" ht="17.25" customHeight="1">
      <c r="Q704" s="3"/>
      <c r="R704" s="4"/>
    </row>
    <row r="705" ht="17.25" customHeight="1">
      <c r="Q705" s="3"/>
      <c r="R705" s="4"/>
    </row>
    <row r="706" ht="17.25" customHeight="1">
      <c r="Q706" s="3"/>
      <c r="R706" s="4"/>
    </row>
    <row r="707" ht="17.25" customHeight="1">
      <c r="Q707" s="3"/>
      <c r="R707" s="4"/>
    </row>
    <row r="708" ht="17.25" customHeight="1">
      <c r="Q708" s="3"/>
      <c r="R708" s="4"/>
    </row>
    <row r="709" ht="17.25" customHeight="1">
      <c r="Q709" s="3"/>
      <c r="R709" s="4"/>
    </row>
    <row r="710" ht="17.25" customHeight="1">
      <c r="Q710" s="3"/>
      <c r="R710" s="4"/>
    </row>
    <row r="711" ht="17.25" customHeight="1">
      <c r="Q711" s="3"/>
      <c r="R711" s="4"/>
    </row>
    <row r="712" ht="17.25" customHeight="1">
      <c r="Q712" s="3"/>
      <c r="R712" s="4"/>
    </row>
    <row r="713" ht="17.25" customHeight="1">
      <c r="Q713" s="3"/>
      <c r="R713" s="4"/>
    </row>
    <row r="714" ht="17.25" customHeight="1">
      <c r="Q714" s="3"/>
      <c r="R714" s="4"/>
    </row>
    <row r="715" ht="17.25" customHeight="1">
      <c r="Q715" s="3"/>
      <c r="R715" s="4"/>
    </row>
    <row r="716" ht="17.25" customHeight="1">
      <c r="Q716" s="3"/>
      <c r="R716" s="4"/>
    </row>
    <row r="717" ht="17.25" customHeight="1">
      <c r="Q717" s="3"/>
      <c r="R717" s="4"/>
    </row>
    <row r="718" ht="17.25" customHeight="1">
      <c r="Q718" s="3"/>
      <c r="R718" s="4"/>
    </row>
    <row r="719" ht="17.25" customHeight="1">
      <c r="Q719" s="3"/>
      <c r="R719" s="4"/>
    </row>
    <row r="720" ht="17.25" customHeight="1">
      <c r="Q720" s="3"/>
      <c r="R720" s="4"/>
    </row>
    <row r="721" ht="17.25" customHeight="1">
      <c r="Q721" s="3"/>
      <c r="R721" s="4"/>
    </row>
    <row r="722" ht="17.25" customHeight="1">
      <c r="Q722" s="3"/>
      <c r="R722" s="4"/>
    </row>
    <row r="723" ht="17.25" customHeight="1">
      <c r="Q723" s="3"/>
      <c r="R723" s="4"/>
    </row>
    <row r="724" ht="17.25" customHeight="1">
      <c r="Q724" s="3"/>
      <c r="R724" s="4"/>
    </row>
    <row r="725" ht="17.25" customHeight="1">
      <c r="Q725" s="3"/>
      <c r="R725" s="4"/>
    </row>
    <row r="726" ht="17.25" customHeight="1">
      <c r="Q726" s="3"/>
      <c r="R726" s="4"/>
    </row>
    <row r="727" ht="17.25" customHeight="1">
      <c r="Q727" s="3"/>
      <c r="R727" s="4"/>
    </row>
    <row r="728" ht="17.25" customHeight="1">
      <c r="Q728" s="3"/>
      <c r="R728" s="4"/>
    </row>
    <row r="729" ht="17.25" customHeight="1">
      <c r="Q729" s="3"/>
      <c r="R729" s="4"/>
    </row>
    <row r="730" ht="17.25" customHeight="1">
      <c r="Q730" s="3"/>
      <c r="R730" s="4"/>
    </row>
    <row r="731" ht="17.25" customHeight="1">
      <c r="Q731" s="3"/>
      <c r="R731" s="4"/>
    </row>
    <row r="732" ht="17.25" customHeight="1">
      <c r="Q732" s="3"/>
      <c r="R732" s="4"/>
    </row>
    <row r="733" ht="17.25" customHeight="1">
      <c r="Q733" s="3"/>
      <c r="R733" s="4"/>
    </row>
    <row r="734" ht="17.25" customHeight="1">
      <c r="Q734" s="3"/>
      <c r="R734" s="4"/>
    </row>
    <row r="735" ht="17.25" customHeight="1">
      <c r="Q735" s="3"/>
      <c r="R735" s="4"/>
    </row>
    <row r="736" ht="17.25" customHeight="1">
      <c r="Q736" s="3"/>
      <c r="R736" s="4"/>
    </row>
    <row r="737" ht="17.25" customHeight="1">
      <c r="Q737" s="3"/>
      <c r="R737" s="4"/>
    </row>
    <row r="738" ht="17.25" customHeight="1">
      <c r="Q738" s="3"/>
      <c r="R738" s="4"/>
    </row>
    <row r="739" ht="17.25" customHeight="1">
      <c r="Q739" s="3"/>
      <c r="R739" s="4"/>
    </row>
    <row r="740" ht="17.25" customHeight="1">
      <c r="Q740" s="3"/>
      <c r="R740" s="4"/>
    </row>
    <row r="741" ht="17.25" customHeight="1">
      <c r="Q741" s="3"/>
      <c r="R741" s="4"/>
    </row>
    <row r="742" ht="17.25" customHeight="1">
      <c r="Q742" s="3"/>
      <c r="R742" s="4"/>
    </row>
    <row r="743" ht="17.25" customHeight="1">
      <c r="Q743" s="3"/>
      <c r="R743" s="4"/>
    </row>
    <row r="744" ht="17.25" customHeight="1">
      <c r="Q744" s="3"/>
      <c r="R744" s="4"/>
    </row>
    <row r="745" ht="17.25" customHeight="1">
      <c r="Q745" s="3"/>
      <c r="R745" s="4"/>
    </row>
    <row r="746" ht="17.25" customHeight="1">
      <c r="Q746" s="3"/>
      <c r="R746" s="4"/>
    </row>
    <row r="747" ht="17.25" customHeight="1">
      <c r="Q747" s="3"/>
      <c r="R747" s="4"/>
    </row>
    <row r="748" ht="17.25" customHeight="1">
      <c r="Q748" s="3"/>
      <c r="R748" s="4"/>
    </row>
    <row r="749" ht="17.25" customHeight="1">
      <c r="Q749" s="3"/>
      <c r="R749" s="4"/>
    </row>
    <row r="750" ht="17.25" customHeight="1">
      <c r="Q750" s="3"/>
      <c r="R750" s="4"/>
    </row>
    <row r="751" ht="17.25" customHeight="1">
      <c r="Q751" s="3"/>
      <c r="R751" s="4"/>
    </row>
    <row r="752" ht="17.25" customHeight="1">
      <c r="Q752" s="3"/>
      <c r="R752" s="4"/>
    </row>
    <row r="753" ht="17.25" customHeight="1">
      <c r="Q753" s="3"/>
      <c r="R753" s="4"/>
    </row>
    <row r="754" ht="17.25" customHeight="1">
      <c r="Q754" s="3"/>
      <c r="R754" s="4"/>
    </row>
    <row r="755" ht="17.25" customHeight="1">
      <c r="Q755" s="3"/>
      <c r="R755" s="4"/>
    </row>
    <row r="756" ht="17.25" customHeight="1">
      <c r="Q756" s="3"/>
      <c r="R756" s="4"/>
    </row>
    <row r="757" ht="17.25" customHeight="1">
      <c r="Q757" s="3"/>
      <c r="R757" s="4"/>
    </row>
    <row r="758" ht="17.25" customHeight="1">
      <c r="Q758" s="3"/>
      <c r="R758" s="4"/>
    </row>
    <row r="759" ht="17.25" customHeight="1">
      <c r="Q759" s="3"/>
      <c r="R759" s="4"/>
    </row>
    <row r="760" ht="17.25" customHeight="1">
      <c r="Q760" s="3"/>
      <c r="R760" s="4"/>
    </row>
    <row r="761" ht="17.25" customHeight="1">
      <c r="Q761" s="3"/>
      <c r="R761" s="4"/>
    </row>
    <row r="762" ht="17.25" customHeight="1">
      <c r="Q762" s="3"/>
      <c r="R762" s="4"/>
    </row>
    <row r="763" ht="17.25" customHeight="1">
      <c r="Q763" s="3"/>
      <c r="R763" s="4"/>
    </row>
    <row r="764" ht="17.25" customHeight="1">
      <c r="Q764" s="3"/>
      <c r="R764" s="4"/>
    </row>
    <row r="765" ht="17.25" customHeight="1">
      <c r="Q765" s="3"/>
      <c r="R765" s="4"/>
    </row>
    <row r="766" ht="17.25" customHeight="1">
      <c r="Q766" s="3"/>
      <c r="R766" s="4"/>
    </row>
    <row r="767" ht="17.25" customHeight="1">
      <c r="Q767" s="3"/>
      <c r="R767" s="4"/>
    </row>
    <row r="768" ht="17.25" customHeight="1">
      <c r="Q768" s="3"/>
      <c r="R768" s="4"/>
    </row>
    <row r="769" ht="17.25" customHeight="1">
      <c r="Q769" s="3"/>
      <c r="R769" s="4"/>
    </row>
    <row r="770" ht="17.25" customHeight="1">
      <c r="Q770" s="3"/>
      <c r="R770" s="4"/>
    </row>
    <row r="771" ht="17.25" customHeight="1">
      <c r="Q771" s="3"/>
      <c r="R771" s="4"/>
    </row>
    <row r="772" ht="17.25" customHeight="1">
      <c r="Q772" s="3"/>
      <c r="R772" s="4"/>
    </row>
    <row r="773" ht="17.25" customHeight="1">
      <c r="Q773" s="3"/>
      <c r="R773" s="4"/>
    </row>
    <row r="774" ht="17.25" customHeight="1">
      <c r="Q774" s="3"/>
      <c r="R774" s="4"/>
    </row>
    <row r="775" ht="17.25" customHeight="1">
      <c r="Q775" s="3"/>
      <c r="R775" s="4"/>
    </row>
    <row r="776" ht="17.25" customHeight="1">
      <c r="Q776" s="3"/>
      <c r="R776" s="4"/>
    </row>
    <row r="777" ht="17.25" customHeight="1">
      <c r="Q777" s="3"/>
      <c r="R777" s="4"/>
    </row>
    <row r="778" ht="17.25" customHeight="1">
      <c r="Q778" s="3"/>
      <c r="R778" s="4"/>
    </row>
    <row r="779" ht="17.25" customHeight="1">
      <c r="Q779" s="3"/>
      <c r="R779" s="4"/>
    </row>
    <row r="780" ht="17.25" customHeight="1">
      <c r="Q780" s="3"/>
      <c r="R780" s="4"/>
    </row>
    <row r="781" ht="17.25" customHeight="1">
      <c r="Q781" s="3"/>
      <c r="R781" s="4"/>
    </row>
    <row r="782" ht="17.25" customHeight="1">
      <c r="Q782" s="3"/>
      <c r="R782" s="4"/>
    </row>
    <row r="783" ht="17.25" customHeight="1">
      <c r="Q783" s="3"/>
      <c r="R783" s="4"/>
    </row>
    <row r="784" ht="17.25" customHeight="1">
      <c r="Q784" s="3"/>
      <c r="R784" s="4"/>
    </row>
    <row r="785" ht="17.25" customHeight="1">
      <c r="Q785" s="3"/>
      <c r="R785" s="4"/>
    </row>
    <row r="786" ht="17.25" customHeight="1">
      <c r="Q786" s="3"/>
      <c r="R786" s="4"/>
    </row>
    <row r="787" ht="17.25" customHeight="1">
      <c r="Q787" s="3"/>
      <c r="R787" s="4"/>
    </row>
    <row r="788" ht="17.25" customHeight="1">
      <c r="Q788" s="3"/>
      <c r="R788" s="4"/>
    </row>
    <row r="789" ht="17.25" customHeight="1">
      <c r="Q789" s="3"/>
      <c r="R789" s="4"/>
    </row>
    <row r="790" ht="17.25" customHeight="1">
      <c r="Q790" s="3"/>
      <c r="R790" s="4"/>
    </row>
    <row r="791" ht="17.25" customHeight="1">
      <c r="Q791" s="3"/>
      <c r="R791" s="4"/>
    </row>
    <row r="792" ht="17.25" customHeight="1">
      <c r="Q792" s="3"/>
      <c r="R792" s="4"/>
    </row>
    <row r="793" ht="17.25" customHeight="1">
      <c r="Q793" s="3"/>
      <c r="R793" s="4"/>
    </row>
    <row r="794" ht="17.25" customHeight="1">
      <c r="Q794" s="3"/>
      <c r="R794" s="4"/>
    </row>
    <row r="795" ht="17.25" customHeight="1">
      <c r="Q795" s="3"/>
      <c r="R795" s="4"/>
    </row>
    <row r="796" ht="17.25" customHeight="1">
      <c r="Q796" s="3"/>
      <c r="R796" s="4"/>
    </row>
    <row r="797" ht="17.25" customHeight="1">
      <c r="Q797" s="3"/>
      <c r="R797" s="4"/>
    </row>
    <row r="798" ht="17.25" customHeight="1">
      <c r="Q798" s="3"/>
      <c r="R798" s="4"/>
    </row>
    <row r="799" ht="17.25" customHeight="1">
      <c r="Q799" s="3"/>
      <c r="R799" s="4"/>
    </row>
    <row r="800" ht="17.25" customHeight="1">
      <c r="Q800" s="3"/>
      <c r="R800" s="4"/>
    </row>
    <row r="801" ht="17.25" customHeight="1">
      <c r="Q801" s="3"/>
      <c r="R801" s="4"/>
    </row>
    <row r="802" ht="17.25" customHeight="1">
      <c r="Q802" s="3"/>
      <c r="R802" s="4"/>
    </row>
    <row r="803" ht="17.25" customHeight="1">
      <c r="Q803" s="3"/>
      <c r="R803" s="4"/>
    </row>
    <row r="804" ht="17.25" customHeight="1">
      <c r="Q804" s="3"/>
      <c r="R804" s="4"/>
    </row>
    <row r="805" ht="17.25" customHeight="1">
      <c r="Q805" s="3"/>
      <c r="R805" s="4"/>
    </row>
    <row r="806" ht="17.25" customHeight="1">
      <c r="Q806" s="3"/>
      <c r="R806" s="4"/>
    </row>
    <row r="807" ht="17.25" customHeight="1">
      <c r="Q807" s="3"/>
      <c r="R807" s="4"/>
    </row>
    <row r="808" ht="17.25" customHeight="1">
      <c r="Q808" s="3"/>
      <c r="R808" s="4"/>
    </row>
    <row r="809" ht="17.25" customHeight="1">
      <c r="Q809" s="3"/>
      <c r="R809" s="4"/>
    </row>
    <row r="810" ht="17.25" customHeight="1">
      <c r="Q810" s="3"/>
      <c r="R810" s="4"/>
    </row>
    <row r="811" ht="17.25" customHeight="1">
      <c r="Q811" s="3"/>
      <c r="R811" s="4"/>
    </row>
    <row r="812" ht="17.25" customHeight="1">
      <c r="Q812" s="3"/>
      <c r="R812" s="4"/>
    </row>
    <row r="813" ht="17.25" customHeight="1">
      <c r="Q813" s="3"/>
      <c r="R813" s="4"/>
    </row>
    <row r="814" ht="17.25" customHeight="1">
      <c r="Q814" s="3"/>
      <c r="R814" s="4"/>
    </row>
    <row r="815" ht="17.25" customHeight="1">
      <c r="Q815" s="3"/>
      <c r="R815" s="4"/>
    </row>
    <row r="816" ht="17.25" customHeight="1">
      <c r="Q816" s="3"/>
      <c r="R816" s="4"/>
    </row>
    <row r="817" ht="17.25" customHeight="1">
      <c r="Q817" s="3"/>
      <c r="R817" s="4"/>
    </row>
    <row r="818" ht="17.25" customHeight="1">
      <c r="Q818" s="3"/>
      <c r="R818" s="4"/>
    </row>
    <row r="819" ht="17.25" customHeight="1">
      <c r="Q819" s="3"/>
      <c r="R819" s="4"/>
    </row>
    <row r="820" ht="17.25" customHeight="1">
      <c r="Q820" s="3"/>
      <c r="R820" s="4"/>
    </row>
    <row r="821" ht="17.25" customHeight="1">
      <c r="Q821" s="3"/>
      <c r="R821" s="4"/>
    </row>
    <row r="822" ht="17.25" customHeight="1">
      <c r="Q822" s="3"/>
      <c r="R822" s="4"/>
    </row>
    <row r="823" ht="17.25" customHeight="1">
      <c r="Q823" s="3"/>
      <c r="R823" s="4"/>
    </row>
    <row r="824" ht="17.25" customHeight="1">
      <c r="Q824" s="3"/>
      <c r="R824" s="4"/>
    </row>
    <row r="825" ht="17.25" customHeight="1">
      <c r="Q825" s="3"/>
      <c r="R825" s="4"/>
    </row>
    <row r="826" ht="17.25" customHeight="1">
      <c r="Q826" s="3"/>
      <c r="R826" s="4"/>
    </row>
    <row r="827" ht="17.25" customHeight="1">
      <c r="Q827" s="3"/>
      <c r="R827" s="4"/>
    </row>
    <row r="828" ht="17.25" customHeight="1">
      <c r="Q828" s="3"/>
      <c r="R828" s="4"/>
    </row>
    <row r="829" ht="17.25" customHeight="1">
      <c r="Q829" s="3"/>
      <c r="R829" s="4"/>
    </row>
    <row r="830" ht="17.25" customHeight="1">
      <c r="Q830" s="3"/>
      <c r="R830" s="4"/>
    </row>
    <row r="831" ht="17.25" customHeight="1">
      <c r="Q831" s="3"/>
      <c r="R831" s="4"/>
    </row>
    <row r="832" ht="17.25" customHeight="1">
      <c r="Q832" s="3"/>
      <c r="R832" s="4"/>
    </row>
    <row r="833" ht="17.25" customHeight="1">
      <c r="Q833" s="3"/>
      <c r="R833" s="4"/>
    </row>
    <row r="834" ht="17.25" customHeight="1">
      <c r="Q834" s="3"/>
      <c r="R834" s="4"/>
    </row>
    <row r="835" ht="17.25" customHeight="1">
      <c r="Q835" s="3"/>
      <c r="R835" s="4"/>
    </row>
    <row r="836" ht="17.25" customHeight="1">
      <c r="Q836" s="3"/>
      <c r="R836" s="4"/>
    </row>
    <row r="837" ht="17.25" customHeight="1">
      <c r="Q837" s="3"/>
      <c r="R837" s="4"/>
    </row>
    <row r="838" ht="17.25" customHeight="1">
      <c r="Q838" s="3"/>
      <c r="R838" s="4"/>
    </row>
    <row r="839" ht="17.25" customHeight="1">
      <c r="Q839" s="3"/>
      <c r="R839" s="4"/>
    </row>
    <row r="840" ht="17.25" customHeight="1">
      <c r="Q840" s="3"/>
      <c r="R840" s="4"/>
    </row>
    <row r="841" ht="17.25" customHeight="1">
      <c r="Q841" s="3"/>
      <c r="R841" s="4"/>
    </row>
    <row r="842" ht="17.25" customHeight="1">
      <c r="Q842" s="3"/>
      <c r="R842" s="4"/>
    </row>
    <row r="843" ht="17.25" customHeight="1">
      <c r="Q843" s="3"/>
      <c r="R843" s="4"/>
    </row>
    <row r="844" ht="17.25" customHeight="1">
      <c r="Q844" s="3"/>
      <c r="R844" s="4"/>
    </row>
    <row r="845" ht="17.25" customHeight="1">
      <c r="Q845" s="3"/>
      <c r="R845" s="4"/>
    </row>
    <row r="846" ht="17.25" customHeight="1">
      <c r="Q846" s="3"/>
      <c r="R846" s="4"/>
    </row>
    <row r="847" ht="17.25" customHeight="1">
      <c r="Q847" s="3"/>
      <c r="R847" s="4"/>
    </row>
    <row r="848" ht="17.25" customHeight="1">
      <c r="Q848" s="3"/>
      <c r="R848" s="4"/>
    </row>
    <row r="849" ht="17.25" customHeight="1">
      <c r="Q849" s="3"/>
      <c r="R849" s="4"/>
    </row>
    <row r="850" ht="17.25" customHeight="1">
      <c r="Q850" s="3"/>
      <c r="R850" s="4"/>
    </row>
    <row r="851" ht="17.25" customHeight="1">
      <c r="Q851" s="3"/>
      <c r="R851" s="4"/>
    </row>
    <row r="852" ht="17.25" customHeight="1">
      <c r="Q852" s="3"/>
      <c r="R852" s="4"/>
    </row>
    <row r="853" ht="17.25" customHeight="1">
      <c r="Q853" s="3"/>
      <c r="R853" s="4"/>
    </row>
    <row r="854" ht="17.25" customHeight="1">
      <c r="Q854" s="3"/>
      <c r="R854" s="4"/>
    </row>
    <row r="855" ht="17.25" customHeight="1">
      <c r="Q855" s="3"/>
      <c r="R855" s="4"/>
    </row>
    <row r="856" ht="17.25" customHeight="1">
      <c r="Q856" s="3"/>
      <c r="R856" s="4"/>
    </row>
    <row r="857" ht="17.25" customHeight="1">
      <c r="Q857" s="3"/>
      <c r="R857" s="4"/>
    </row>
    <row r="858" ht="17.25" customHeight="1">
      <c r="Q858" s="3"/>
      <c r="R858" s="4"/>
    </row>
    <row r="859" ht="17.25" customHeight="1">
      <c r="Q859" s="3"/>
      <c r="R859" s="4"/>
    </row>
    <row r="860" ht="17.25" customHeight="1">
      <c r="Q860" s="3"/>
      <c r="R860" s="4"/>
    </row>
    <row r="861" ht="17.25" customHeight="1">
      <c r="Q861" s="3"/>
      <c r="R861" s="4"/>
    </row>
    <row r="862" ht="17.25" customHeight="1">
      <c r="Q862" s="3"/>
      <c r="R862" s="4"/>
    </row>
    <row r="863" ht="17.25" customHeight="1">
      <c r="Q863" s="3"/>
      <c r="R863" s="4"/>
    </row>
    <row r="864" ht="17.25" customHeight="1">
      <c r="Q864" s="3"/>
      <c r="R864" s="4"/>
    </row>
    <row r="865" ht="17.25" customHeight="1">
      <c r="Q865" s="3"/>
      <c r="R865" s="4"/>
    </row>
    <row r="866" ht="17.25" customHeight="1">
      <c r="Q866" s="3"/>
      <c r="R866" s="4"/>
    </row>
    <row r="867" ht="17.25" customHeight="1">
      <c r="Q867" s="3"/>
      <c r="R867" s="4"/>
    </row>
    <row r="868" ht="17.25" customHeight="1">
      <c r="Q868" s="3"/>
      <c r="R868" s="4"/>
    </row>
    <row r="869" ht="17.25" customHeight="1">
      <c r="Q869" s="3"/>
      <c r="R869" s="4"/>
    </row>
    <row r="870" ht="17.25" customHeight="1">
      <c r="Q870" s="3"/>
      <c r="R870" s="4"/>
    </row>
    <row r="871" ht="17.25" customHeight="1">
      <c r="Q871" s="3"/>
      <c r="R871" s="4"/>
    </row>
    <row r="872" ht="17.25" customHeight="1">
      <c r="Q872" s="3"/>
      <c r="R872" s="4"/>
    </row>
    <row r="873" ht="17.25" customHeight="1">
      <c r="Q873" s="3"/>
      <c r="R873" s="4"/>
    </row>
    <row r="874" ht="17.25" customHeight="1">
      <c r="Q874" s="3"/>
      <c r="R874" s="4"/>
    </row>
    <row r="875" ht="17.25" customHeight="1">
      <c r="Q875" s="3"/>
      <c r="R875" s="4"/>
    </row>
    <row r="876" ht="17.25" customHeight="1">
      <c r="Q876" s="3"/>
      <c r="R876" s="4"/>
    </row>
    <row r="877" ht="17.25" customHeight="1">
      <c r="Q877" s="3"/>
      <c r="R877" s="4"/>
    </row>
    <row r="878" ht="17.25" customHeight="1">
      <c r="Q878" s="3"/>
      <c r="R878" s="4"/>
    </row>
    <row r="879" ht="17.25" customHeight="1">
      <c r="Q879" s="3"/>
      <c r="R879" s="4"/>
    </row>
    <row r="880" ht="17.25" customHeight="1">
      <c r="Q880" s="3"/>
      <c r="R880" s="4"/>
    </row>
    <row r="881" ht="17.25" customHeight="1">
      <c r="Q881" s="3"/>
      <c r="R881" s="4"/>
    </row>
    <row r="882" ht="17.25" customHeight="1">
      <c r="Q882" s="3"/>
      <c r="R882" s="4"/>
    </row>
    <row r="883" ht="17.25" customHeight="1">
      <c r="Q883" s="3"/>
      <c r="R883" s="4"/>
    </row>
    <row r="884" ht="17.25" customHeight="1">
      <c r="Q884" s="3"/>
      <c r="R884" s="4"/>
    </row>
    <row r="885" ht="17.25" customHeight="1">
      <c r="Q885" s="3"/>
      <c r="R885" s="4"/>
    </row>
    <row r="886" ht="17.25" customHeight="1">
      <c r="Q886" s="3"/>
      <c r="R886" s="4"/>
    </row>
    <row r="887" ht="17.25" customHeight="1">
      <c r="Q887" s="3"/>
      <c r="R887" s="4"/>
    </row>
    <row r="888" ht="17.25" customHeight="1">
      <c r="Q888" s="3"/>
      <c r="R888" s="4"/>
    </row>
    <row r="889" ht="17.25" customHeight="1">
      <c r="Q889" s="3"/>
      <c r="R889" s="4"/>
    </row>
    <row r="890" ht="17.25" customHeight="1">
      <c r="Q890" s="3"/>
      <c r="R890" s="4"/>
    </row>
    <row r="891" ht="17.25" customHeight="1">
      <c r="Q891" s="3"/>
      <c r="R891" s="4"/>
    </row>
    <row r="892" ht="17.25" customHeight="1">
      <c r="Q892" s="3"/>
      <c r="R892" s="4"/>
    </row>
    <row r="893" ht="17.25" customHeight="1">
      <c r="Q893" s="3"/>
      <c r="R893" s="4"/>
    </row>
    <row r="894" ht="17.25" customHeight="1">
      <c r="Q894" s="3"/>
      <c r="R894" s="4"/>
    </row>
    <row r="895" ht="17.25" customHeight="1">
      <c r="Q895" s="3"/>
      <c r="R895" s="4"/>
    </row>
    <row r="896" ht="17.25" customHeight="1">
      <c r="Q896" s="3"/>
      <c r="R896" s="4"/>
    </row>
    <row r="897" ht="17.25" customHeight="1">
      <c r="Q897" s="3"/>
      <c r="R897" s="4"/>
    </row>
    <row r="898" ht="17.25" customHeight="1">
      <c r="Q898" s="3"/>
      <c r="R898" s="4"/>
    </row>
    <row r="899" ht="17.25" customHeight="1">
      <c r="Q899" s="3"/>
      <c r="R899" s="4"/>
    </row>
    <row r="900" ht="17.25" customHeight="1">
      <c r="Q900" s="3"/>
      <c r="R900" s="4"/>
    </row>
    <row r="901" ht="17.25" customHeight="1">
      <c r="Q901" s="3"/>
      <c r="R901" s="4"/>
    </row>
    <row r="902" ht="17.25" customHeight="1">
      <c r="Q902" s="3"/>
      <c r="R902" s="4"/>
    </row>
    <row r="903" ht="17.25" customHeight="1">
      <c r="Q903" s="3"/>
      <c r="R903" s="4"/>
    </row>
    <row r="904" ht="17.25" customHeight="1">
      <c r="Q904" s="3"/>
      <c r="R904" s="4"/>
    </row>
    <row r="905" ht="17.25" customHeight="1">
      <c r="Q905" s="3"/>
      <c r="R905" s="4"/>
    </row>
    <row r="906" ht="17.25" customHeight="1">
      <c r="Q906" s="3"/>
      <c r="R906" s="4"/>
    </row>
    <row r="907" ht="17.25" customHeight="1">
      <c r="Q907" s="3"/>
      <c r="R907" s="4"/>
    </row>
    <row r="908" ht="17.25" customHeight="1">
      <c r="Q908" s="3"/>
      <c r="R908" s="4"/>
    </row>
    <row r="909" ht="17.25" customHeight="1">
      <c r="Q909" s="3"/>
      <c r="R909" s="4"/>
    </row>
    <row r="910" ht="17.25" customHeight="1">
      <c r="Q910" s="3"/>
      <c r="R910" s="4"/>
    </row>
    <row r="911" ht="17.25" customHeight="1">
      <c r="Q911" s="3"/>
      <c r="R911" s="4"/>
    </row>
    <row r="912" ht="17.25" customHeight="1">
      <c r="Q912" s="3"/>
      <c r="R912" s="4"/>
    </row>
    <row r="913" ht="17.25" customHeight="1">
      <c r="Q913" s="3"/>
      <c r="R913" s="4"/>
    </row>
    <row r="914" ht="17.25" customHeight="1">
      <c r="Q914" s="3"/>
      <c r="R914" s="4"/>
    </row>
    <row r="915" ht="17.25" customHeight="1">
      <c r="Q915" s="3"/>
      <c r="R915" s="4"/>
    </row>
    <row r="916" ht="17.25" customHeight="1">
      <c r="Q916" s="3"/>
      <c r="R916" s="4"/>
    </row>
    <row r="917" ht="17.25" customHeight="1">
      <c r="Q917" s="3"/>
      <c r="R917" s="4"/>
    </row>
    <row r="918" ht="17.25" customHeight="1">
      <c r="Q918" s="3"/>
      <c r="R918" s="4"/>
    </row>
    <row r="919" ht="17.25" customHeight="1">
      <c r="Q919" s="3"/>
      <c r="R919" s="4"/>
    </row>
    <row r="920" ht="17.25" customHeight="1">
      <c r="Q920" s="3"/>
      <c r="R920" s="4"/>
    </row>
    <row r="921" ht="17.25" customHeight="1">
      <c r="Q921" s="3"/>
      <c r="R921" s="4"/>
    </row>
    <row r="922" ht="17.25" customHeight="1">
      <c r="Q922" s="3"/>
      <c r="R922" s="4"/>
    </row>
    <row r="923" ht="17.25" customHeight="1">
      <c r="Q923" s="3"/>
      <c r="R923" s="4"/>
    </row>
    <row r="924" ht="17.25" customHeight="1">
      <c r="Q924" s="3"/>
      <c r="R924" s="4"/>
    </row>
    <row r="925" ht="17.25" customHeight="1">
      <c r="Q925" s="3"/>
      <c r="R925" s="4"/>
    </row>
    <row r="926" ht="17.25" customHeight="1">
      <c r="Q926" s="3"/>
      <c r="R926" s="4"/>
    </row>
    <row r="927" ht="17.25" customHeight="1">
      <c r="Q927" s="3"/>
      <c r="R927" s="4"/>
    </row>
    <row r="928" ht="17.25" customHeight="1">
      <c r="Q928" s="3"/>
      <c r="R928" s="4"/>
    </row>
    <row r="929" ht="17.25" customHeight="1">
      <c r="Q929" s="3"/>
      <c r="R929" s="4"/>
    </row>
    <row r="930" ht="17.25" customHeight="1">
      <c r="Q930" s="3"/>
      <c r="R930" s="4"/>
    </row>
    <row r="931" ht="17.25" customHeight="1">
      <c r="Q931" s="3"/>
      <c r="R931" s="4"/>
    </row>
    <row r="932" ht="17.25" customHeight="1">
      <c r="Q932" s="3"/>
      <c r="R932" s="4"/>
    </row>
    <row r="933" ht="17.25" customHeight="1">
      <c r="Q933" s="3"/>
      <c r="R933" s="4"/>
    </row>
    <row r="934" ht="17.25" customHeight="1">
      <c r="Q934" s="3"/>
      <c r="R934" s="4"/>
    </row>
    <row r="935" ht="17.25" customHeight="1">
      <c r="Q935" s="3"/>
      <c r="R935" s="4"/>
    </row>
    <row r="936" ht="17.25" customHeight="1">
      <c r="Q936" s="3"/>
      <c r="R936" s="4"/>
    </row>
    <row r="937" ht="17.25" customHeight="1">
      <c r="Q937" s="3"/>
      <c r="R937" s="4"/>
    </row>
    <row r="938" ht="17.25" customHeight="1">
      <c r="Q938" s="3"/>
      <c r="R938" s="4"/>
    </row>
    <row r="939" ht="17.25" customHeight="1">
      <c r="Q939" s="3"/>
      <c r="R939" s="4"/>
    </row>
    <row r="940" ht="17.25" customHeight="1">
      <c r="Q940" s="3"/>
      <c r="R940" s="4"/>
    </row>
    <row r="941" ht="17.25" customHeight="1">
      <c r="Q941" s="3"/>
      <c r="R941" s="4"/>
    </row>
    <row r="942" ht="17.25" customHeight="1">
      <c r="Q942" s="3"/>
      <c r="R942" s="4"/>
    </row>
    <row r="943" ht="17.25" customHeight="1">
      <c r="Q943" s="3"/>
      <c r="R943" s="4"/>
    </row>
    <row r="944" ht="17.25" customHeight="1">
      <c r="Q944" s="3"/>
      <c r="R944" s="4"/>
    </row>
    <row r="945" ht="17.25" customHeight="1">
      <c r="Q945" s="3"/>
      <c r="R945" s="4"/>
    </row>
    <row r="946" ht="17.25" customHeight="1">
      <c r="Q946" s="3"/>
      <c r="R946" s="4"/>
    </row>
    <row r="947" ht="17.25" customHeight="1">
      <c r="Q947" s="3"/>
      <c r="R947" s="4"/>
    </row>
    <row r="948" ht="17.25" customHeight="1">
      <c r="Q948" s="3"/>
      <c r="R948" s="4"/>
    </row>
    <row r="949" ht="17.25" customHeight="1">
      <c r="Q949" s="3"/>
      <c r="R949" s="4"/>
    </row>
    <row r="950" ht="17.25" customHeight="1">
      <c r="Q950" s="3"/>
      <c r="R950" s="4"/>
    </row>
    <row r="951" ht="17.25" customHeight="1">
      <c r="Q951" s="3"/>
      <c r="R951" s="4"/>
    </row>
    <row r="952" ht="17.25" customHeight="1">
      <c r="Q952" s="3"/>
      <c r="R952" s="4"/>
    </row>
    <row r="953" ht="17.25" customHeight="1">
      <c r="Q953" s="3"/>
      <c r="R953" s="4"/>
    </row>
    <row r="954" ht="17.25" customHeight="1">
      <c r="Q954" s="3"/>
      <c r="R954" s="4"/>
    </row>
    <row r="955" ht="17.25" customHeight="1">
      <c r="Q955" s="3"/>
      <c r="R955" s="4"/>
    </row>
    <row r="956" ht="17.25" customHeight="1">
      <c r="Q956" s="3"/>
      <c r="R956" s="4"/>
    </row>
    <row r="957" ht="17.25" customHeight="1">
      <c r="Q957" s="3"/>
      <c r="R957" s="4"/>
    </row>
    <row r="958" ht="17.25" customHeight="1">
      <c r="Q958" s="3"/>
      <c r="R958" s="4"/>
    </row>
    <row r="959" ht="17.25" customHeight="1">
      <c r="Q959" s="3"/>
      <c r="R959" s="4"/>
    </row>
    <row r="960" ht="17.25" customHeight="1">
      <c r="Q960" s="3"/>
      <c r="R960" s="4"/>
    </row>
    <row r="961" ht="17.25" customHeight="1">
      <c r="Q961" s="3"/>
      <c r="R961" s="4"/>
    </row>
    <row r="962" ht="17.25" customHeight="1">
      <c r="Q962" s="3"/>
      <c r="R962" s="4"/>
    </row>
    <row r="963" ht="17.25" customHeight="1">
      <c r="Q963" s="3"/>
      <c r="R963" s="4"/>
    </row>
    <row r="964" ht="17.25" customHeight="1">
      <c r="Q964" s="3"/>
      <c r="R964" s="4"/>
    </row>
    <row r="965" ht="17.25" customHeight="1">
      <c r="Q965" s="3"/>
      <c r="R965" s="4"/>
    </row>
    <row r="966" ht="17.25" customHeight="1">
      <c r="Q966" s="3"/>
      <c r="R966" s="4"/>
    </row>
    <row r="967" ht="17.25" customHeight="1">
      <c r="Q967" s="3"/>
      <c r="R967" s="4"/>
    </row>
    <row r="968" ht="17.25" customHeight="1">
      <c r="Q968" s="3"/>
      <c r="R968" s="4"/>
    </row>
    <row r="969" ht="17.25" customHeight="1">
      <c r="Q969" s="3"/>
      <c r="R969" s="4"/>
    </row>
    <row r="970" ht="17.25" customHeight="1">
      <c r="Q970" s="3"/>
      <c r="R970" s="4"/>
    </row>
    <row r="971" ht="17.25" customHeight="1">
      <c r="Q971" s="3"/>
      <c r="R971" s="4"/>
    </row>
    <row r="972" ht="17.25" customHeight="1">
      <c r="Q972" s="3"/>
      <c r="R972" s="4"/>
    </row>
    <row r="973" ht="17.25" customHeight="1">
      <c r="Q973" s="3"/>
      <c r="R973" s="4"/>
    </row>
    <row r="974" ht="17.25" customHeight="1">
      <c r="Q974" s="3"/>
      <c r="R974" s="4"/>
    </row>
    <row r="975" ht="17.25" customHeight="1">
      <c r="Q975" s="3"/>
      <c r="R975" s="4"/>
    </row>
    <row r="976" ht="17.25" customHeight="1">
      <c r="Q976" s="3"/>
      <c r="R976" s="4"/>
    </row>
    <row r="977" ht="17.25" customHeight="1">
      <c r="Q977" s="3"/>
      <c r="R977" s="4"/>
    </row>
    <row r="978" ht="17.25" customHeight="1">
      <c r="Q978" s="3"/>
      <c r="R978" s="4"/>
    </row>
    <row r="979" ht="17.25" customHeight="1">
      <c r="Q979" s="3"/>
      <c r="R979" s="4"/>
    </row>
    <row r="980" ht="17.25" customHeight="1">
      <c r="Q980" s="3"/>
      <c r="R980" s="4"/>
    </row>
    <row r="981" ht="17.25" customHeight="1">
      <c r="Q981" s="3"/>
      <c r="R981" s="4"/>
    </row>
    <row r="982" ht="17.25" customHeight="1">
      <c r="Q982" s="3"/>
      <c r="R982" s="4"/>
    </row>
    <row r="983" ht="17.25" customHeight="1">
      <c r="Q983" s="3"/>
      <c r="R983" s="4"/>
    </row>
    <row r="984" ht="17.25" customHeight="1">
      <c r="Q984" s="3"/>
      <c r="R984" s="4"/>
    </row>
    <row r="985" ht="17.25" customHeight="1">
      <c r="Q985" s="3"/>
      <c r="R985" s="4"/>
    </row>
    <row r="986" ht="17.25" customHeight="1">
      <c r="Q986" s="3"/>
      <c r="R986" s="4"/>
    </row>
    <row r="987" ht="17.25" customHeight="1">
      <c r="Q987" s="3"/>
      <c r="R987" s="4"/>
    </row>
    <row r="988" ht="17.25" customHeight="1">
      <c r="Q988" s="3"/>
      <c r="R988" s="4"/>
    </row>
    <row r="989" ht="17.25" customHeight="1">
      <c r="Q989" s="3"/>
      <c r="R989" s="4"/>
    </row>
    <row r="990" ht="17.25" customHeight="1">
      <c r="Q990" s="3"/>
      <c r="R990" s="4"/>
    </row>
    <row r="991" ht="17.25" customHeight="1">
      <c r="Q991" s="3"/>
      <c r="R991" s="4"/>
    </row>
    <row r="992" ht="17.25" customHeight="1">
      <c r="Q992" s="3"/>
      <c r="R992" s="4"/>
    </row>
    <row r="993" ht="17.25" customHeight="1">
      <c r="Q993" s="3"/>
      <c r="R993" s="4"/>
    </row>
    <row r="994" ht="17.25" customHeight="1">
      <c r="Q994" s="3"/>
      <c r="R994" s="4"/>
    </row>
    <row r="995" ht="17.25" customHeight="1">
      <c r="Q995" s="3"/>
      <c r="R995" s="4"/>
    </row>
    <row r="996" ht="17.25" customHeight="1">
      <c r="Q996" s="3"/>
      <c r="R996" s="4"/>
    </row>
    <row r="997" ht="17.25" customHeight="1">
      <c r="Q997" s="3"/>
      <c r="R997" s="4"/>
    </row>
    <row r="998" ht="17.25" customHeight="1">
      <c r="Q998" s="3"/>
      <c r="R998" s="4"/>
    </row>
    <row r="999" ht="17.25" customHeight="1">
      <c r="Q999" s="3"/>
      <c r="R999" s="4"/>
    </row>
    <row r="1000" ht="17.25" customHeight="1">
      <c r="Q1000" s="3"/>
      <c r="R1000" s="4"/>
    </row>
  </sheetData>
  <autoFilter ref="$A$1:$W$44"/>
  <mergeCells count="1">
    <mergeCell ref="AB2:AB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1.43"/>
    <col customWidth="1" min="4" max="5" width="16.29"/>
    <col customWidth="1" min="6" max="16" width="8.71"/>
    <col customWidth="1" min="17" max="17" width="8.86"/>
    <col customWidth="1" min="18" max="18" width="14.14"/>
    <col customWidth="1" min="19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1" t="s">
        <v>130</v>
      </c>
      <c r="B2" s="2">
        <v>45804.52835648148</v>
      </c>
      <c r="C2" s="2">
        <v>45804.52835648148</v>
      </c>
      <c r="D2" s="2">
        <v>45810.722280092596</v>
      </c>
      <c r="F2" s="1" t="s">
        <v>131</v>
      </c>
      <c r="G2" s="1" t="s">
        <v>132</v>
      </c>
      <c r="H2" s="1" t="s">
        <v>133</v>
      </c>
      <c r="I2" s="1" t="s">
        <v>134</v>
      </c>
      <c r="J2" s="1" t="s">
        <v>133</v>
      </c>
      <c r="K2" s="1" t="s">
        <v>135</v>
      </c>
      <c r="L2" s="1" t="s">
        <v>134</v>
      </c>
      <c r="M2" s="1">
        <v>14922.0</v>
      </c>
      <c r="N2" s="1" t="s">
        <v>136</v>
      </c>
      <c r="O2" s="1" t="s">
        <v>30</v>
      </c>
      <c r="P2" s="1" t="s">
        <v>31</v>
      </c>
      <c r="Q2" s="3">
        <v>1.0</v>
      </c>
      <c r="R2" s="4">
        <v>5.8906511949E11</v>
      </c>
      <c r="T2" s="1">
        <v>356000.0</v>
      </c>
      <c r="U2" s="1">
        <v>0.0</v>
      </c>
      <c r="V2" s="1">
        <v>0.0</v>
      </c>
      <c r="W2" s="1">
        <v>356000.0</v>
      </c>
    </row>
    <row r="3" ht="17.25" customHeight="1">
      <c r="A3" s="1" t="s">
        <v>130</v>
      </c>
      <c r="B3" s="2">
        <v>45809.12658564815</v>
      </c>
      <c r="C3" s="2">
        <v>45809.12658564815</v>
      </c>
      <c r="D3" s="2">
        <v>45810.72258101852</v>
      </c>
      <c r="F3" s="1" t="s">
        <v>282</v>
      </c>
      <c r="G3" s="1" t="s">
        <v>283</v>
      </c>
      <c r="H3" s="1" t="s">
        <v>284</v>
      </c>
      <c r="I3" s="1" t="s">
        <v>285</v>
      </c>
      <c r="J3" s="1" t="s">
        <v>284</v>
      </c>
      <c r="K3" s="1" t="s">
        <v>285</v>
      </c>
      <c r="L3" s="1" t="s">
        <v>285</v>
      </c>
      <c r="M3" s="1">
        <v>4717.0</v>
      </c>
      <c r="N3" s="1" t="s">
        <v>286</v>
      </c>
      <c r="O3" s="1" t="s">
        <v>30</v>
      </c>
      <c r="P3" s="1" t="s">
        <v>31</v>
      </c>
      <c r="Q3" s="3">
        <v>1.0</v>
      </c>
      <c r="R3" s="4">
        <v>5.89065120864E11</v>
      </c>
      <c r="T3" s="1">
        <v>175000.0</v>
      </c>
      <c r="U3" s="1">
        <v>0.0</v>
      </c>
      <c r="V3" s="1">
        <v>0.0</v>
      </c>
      <c r="W3" s="1">
        <v>171900.0</v>
      </c>
    </row>
    <row r="4" ht="17.25" customHeight="1">
      <c r="A4" s="1" t="s">
        <v>130</v>
      </c>
      <c r="B4" s="2">
        <v>45809.34326388889</v>
      </c>
      <c r="C4" s="2">
        <v>45809.34326388889</v>
      </c>
      <c r="D4" s="2">
        <v>45810.722604166665</v>
      </c>
      <c r="F4" s="1" t="s">
        <v>287</v>
      </c>
      <c r="G4" s="1" t="s">
        <v>288</v>
      </c>
      <c r="H4" s="1" t="s">
        <v>289</v>
      </c>
      <c r="I4" s="1" t="s">
        <v>290</v>
      </c>
      <c r="J4" s="1" t="s">
        <v>289</v>
      </c>
      <c r="K4" s="1" t="s">
        <v>290</v>
      </c>
      <c r="L4" s="1" t="s">
        <v>290</v>
      </c>
      <c r="M4" s="1">
        <v>10099.0</v>
      </c>
      <c r="N4" s="1" t="s">
        <v>291</v>
      </c>
      <c r="O4" s="1" t="s">
        <v>30</v>
      </c>
      <c r="P4" s="1" t="s">
        <v>31</v>
      </c>
      <c r="Q4" s="3">
        <v>1.0</v>
      </c>
      <c r="R4" s="4">
        <v>5.89065120875E11</v>
      </c>
      <c r="T4" s="1">
        <v>356000.0</v>
      </c>
      <c r="U4" s="1">
        <v>0.0</v>
      </c>
      <c r="V4" s="1">
        <v>0.0</v>
      </c>
      <c r="W4" s="1">
        <v>356000.0</v>
      </c>
    </row>
    <row r="5" ht="17.25" customHeight="1">
      <c r="A5" s="1" t="s">
        <v>130</v>
      </c>
      <c r="B5" s="2">
        <v>45809.91782407407</v>
      </c>
      <c r="C5" s="2">
        <v>45809.91782407407</v>
      </c>
      <c r="D5" s="2">
        <v>45810.722719907404</v>
      </c>
      <c r="F5" s="1" t="s">
        <v>292</v>
      </c>
      <c r="G5" s="1" t="s">
        <v>293</v>
      </c>
      <c r="H5" s="1" t="s">
        <v>294</v>
      </c>
      <c r="I5" s="1" t="s">
        <v>295</v>
      </c>
      <c r="J5" s="1" t="s">
        <v>294</v>
      </c>
      <c r="K5" s="1" t="s">
        <v>296</v>
      </c>
      <c r="L5" s="1" t="s">
        <v>295</v>
      </c>
      <c r="M5" s="1">
        <v>7221.0</v>
      </c>
      <c r="N5" s="1" t="s">
        <v>297</v>
      </c>
      <c r="O5" s="1" t="s">
        <v>30</v>
      </c>
      <c r="P5" s="1" t="s">
        <v>31</v>
      </c>
      <c r="Q5" s="3">
        <v>1.0</v>
      </c>
      <c r="R5" s="4">
        <v>5.89065120853E11</v>
      </c>
      <c r="T5" s="1">
        <v>175000.0</v>
      </c>
      <c r="U5" s="1">
        <v>0.0</v>
      </c>
      <c r="V5" s="1">
        <v>0.0</v>
      </c>
      <c r="W5" s="1">
        <v>175000.0</v>
      </c>
    </row>
    <row r="6" ht="17.25" customHeight="1">
      <c r="A6" s="1" t="s">
        <v>130</v>
      </c>
      <c r="B6" s="2">
        <v>45810.41940972222</v>
      </c>
      <c r="C6" s="2">
        <v>45810.41940972222</v>
      </c>
      <c r="D6" s="2">
        <v>45810.71730324074</v>
      </c>
      <c r="F6" s="1" t="s">
        <v>298</v>
      </c>
      <c r="G6" s="1" t="s">
        <v>299</v>
      </c>
      <c r="H6" s="1" t="s">
        <v>300</v>
      </c>
      <c r="I6" s="1" t="s">
        <v>301</v>
      </c>
      <c r="J6" s="1" t="s">
        <v>300</v>
      </c>
      <c r="K6" s="1" t="s">
        <v>197</v>
      </c>
      <c r="L6" s="1" t="s">
        <v>301</v>
      </c>
      <c r="M6" s="1">
        <v>21074.0</v>
      </c>
      <c r="N6" s="1" t="s">
        <v>302</v>
      </c>
      <c r="O6" s="1" t="s">
        <v>30</v>
      </c>
      <c r="P6" s="1" t="s">
        <v>54</v>
      </c>
      <c r="Q6" s="3">
        <v>1.0</v>
      </c>
      <c r="R6" s="4">
        <v>5.89065121645E11</v>
      </c>
      <c r="T6" s="1">
        <v>385900.0</v>
      </c>
      <c r="U6" s="1">
        <v>0.0</v>
      </c>
      <c r="V6" s="1">
        <v>0.0</v>
      </c>
      <c r="W6" s="1">
        <v>385900.0</v>
      </c>
    </row>
    <row r="7" ht="17.25" customHeight="1">
      <c r="A7" s="1" t="s">
        <v>303</v>
      </c>
      <c r="B7" s="2">
        <v>45811.873611111114</v>
      </c>
      <c r="C7" s="2">
        <v>45811.873611111114</v>
      </c>
      <c r="F7" s="1" t="s">
        <v>304</v>
      </c>
      <c r="G7" s="1" t="s">
        <v>305</v>
      </c>
      <c r="H7" s="1" t="s">
        <v>306</v>
      </c>
      <c r="I7" s="1" t="s">
        <v>307</v>
      </c>
      <c r="J7" s="1" t="s">
        <v>306</v>
      </c>
      <c r="K7" s="1" t="s">
        <v>307</v>
      </c>
      <c r="L7" s="1" t="s">
        <v>307</v>
      </c>
      <c r="M7" s="1">
        <v>15217.0</v>
      </c>
      <c r="N7" s="1" t="s">
        <v>308</v>
      </c>
      <c r="O7" s="1" t="s">
        <v>30</v>
      </c>
      <c r="P7" s="1" t="s">
        <v>31</v>
      </c>
      <c r="Q7" s="3">
        <v>1.0</v>
      </c>
      <c r="R7" s="4"/>
      <c r="T7" s="1">
        <v>350000.0</v>
      </c>
      <c r="U7" s="1">
        <v>0.0</v>
      </c>
      <c r="V7" s="1">
        <v>0.0</v>
      </c>
      <c r="W7" s="1">
        <v>350000.0</v>
      </c>
    </row>
    <row r="8" ht="17.25" customHeight="1">
      <c r="A8" s="1" t="s">
        <v>303</v>
      </c>
      <c r="B8" s="2">
        <v>45811.921435185184</v>
      </c>
      <c r="C8" s="2">
        <v>45811.921435185184</v>
      </c>
      <c r="F8" s="1" t="s">
        <v>309</v>
      </c>
      <c r="G8" s="1" t="s">
        <v>310</v>
      </c>
      <c r="H8" s="1" t="s">
        <v>311</v>
      </c>
      <c r="I8" s="1" t="s">
        <v>312</v>
      </c>
      <c r="J8" s="1" t="s">
        <v>311</v>
      </c>
      <c r="K8" s="1" t="s">
        <v>312</v>
      </c>
      <c r="L8" s="1" t="s">
        <v>312</v>
      </c>
      <c r="M8" s="1">
        <v>10546.0</v>
      </c>
      <c r="N8" s="1" t="s">
        <v>313</v>
      </c>
      <c r="O8" s="1" t="s">
        <v>30</v>
      </c>
      <c r="P8" s="1" t="s">
        <v>314</v>
      </c>
      <c r="Q8" s="3">
        <v>1.0</v>
      </c>
      <c r="R8" s="4"/>
      <c r="T8" s="1">
        <v>111000.0</v>
      </c>
      <c r="U8" s="1">
        <v>0.0</v>
      </c>
      <c r="V8" s="1">
        <v>0.0</v>
      </c>
      <c r="W8" s="1">
        <v>111000.0</v>
      </c>
    </row>
    <row r="9" ht="17.25" customHeight="1">
      <c r="A9" s="1" t="s">
        <v>303</v>
      </c>
      <c r="B9" s="2">
        <v>45812.33224537037</v>
      </c>
      <c r="C9" s="2">
        <v>45812.33224537037</v>
      </c>
      <c r="F9" s="1" t="s">
        <v>315</v>
      </c>
      <c r="G9" s="1" t="s">
        <v>316</v>
      </c>
      <c r="H9" s="1" t="s">
        <v>317</v>
      </c>
      <c r="I9" s="1" t="s">
        <v>318</v>
      </c>
      <c r="J9" s="1" t="s">
        <v>317</v>
      </c>
      <c r="K9" s="1" t="s">
        <v>318</v>
      </c>
      <c r="L9" s="1" t="s">
        <v>318</v>
      </c>
      <c r="M9" s="1">
        <v>6115.0</v>
      </c>
      <c r="N9" s="1" t="s">
        <v>319</v>
      </c>
      <c r="O9" s="1" t="s">
        <v>30</v>
      </c>
      <c r="P9" s="1" t="s">
        <v>31</v>
      </c>
      <c r="Q9" s="3">
        <v>1.0</v>
      </c>
      <c r="R9" s="4"/>
      <c r="T9" s="1">
        <v>175000.0</v>
      </c>
      <c r="U9" s="1">
        <v>0.0</v>
      </c>
      <c r="V9" s="1">
        <v>0.0</v>
      </c>
      <c r="W9" s="1">
        <v>175000.0</v>
      </c>
    </row>
    <row r="10" ht="17.25" customHeight="1">
      <c r="A10" s="1" t="s">
        <v>320</v>
      </c>
      <c r="B10" s="2">
        <v>45812.4233912037</v>
      </c>
      <c r="C10" s="2">
        <v>45812.4233912037</v>
      </c>
      <c r="F10" s="1" t="s">
        <v>321</v>
      </c>
      <c r="G10" s="1" t="s">
        <v>322</v>
      </c>
      <c r="H10" s="1" t="s">
        <v>323</v>
      </c>
      <c r="I10" s="1" t="s">
        <v>324</v>
      </c>
      <c r="J10" s="1" t="s">
        <v>323</v>
      </c>
      <c r="K10" s="1" t="s">
        <v>324</v>
      </c>
      <c r="L10" s="1" t="s">
        <v>324</v>
      </c>
      <c r="M10" s="1">
        <v>53301.0</v>
      </c>
      <c r="N10" s="1" t="s">
        <v>325</v>
      </c>
      <c r="O10" s="1" t="s">
        <v>30</v>
      </c>
      <c r="P10" s="1" t="s">
        <v>31</v>
      </c>
      <c r="Q10" s="3">
        <v>1.0</v>
      </c>
      <c r="R10" s="4"/>
      <c r="T10" s="1">
        <v>175000.0</v>
      </c>
      <c r="U10" s="1">
        <v>0.0</v>
      </c>
      <c r="V10" s="1">
        <v>0.0</v>
      </c>
      <c r="W10" s="1">
        <v>175000.0</v>
      </c>
    </row>
    <row r="11" ht="17.25" customHeight="1">
      <c r="A11" s="1" t="s">
        <v>320</v>
      </c>
      <c r="B11" s="2">
        <v>45812.433275462965</v>
      </c>
      <c r="C11" s="2">
        <v>45812.433275462965</v>
      </c>
      <c r="F11" s="1" t="s">
        <v>326</v>
      </c>
      <c r="G11" s="1" t="s">
        <v>327</v>
      </c>
      <c r="H11" s="1" t="s">
        <v>328</v>
      </c>
      <c r="I11" s="1" t="s">
        <v>329</v>
      </c>
      <c r="J11" s="1" t="s">
        <v>328</v>
      </c>
      <c r="K11" s="1" t="s">
        <v>329</v>
      </c>
      <c r="L11" s="1" t="s">
        <v>329</v>
      </c>
      <c r="M11" s="1">
        <v>39441.0</v>
      </c>
      <c r="N11" s="1" t="s">
        <v>330</v>
      </c>
      <c r="O11" s="1" t="s">
        <v>30</v>
      </c>
      <c r="P11" s="1" t="s">
        <v>31</v>
      </c>
      <c r="Q11" s="3">
        <v>1.0</v>
      </c>
      <c r="R11" s="4"/>
      <c r="T11" s="1">
        <v>310000.0</v>
      </c>
      <c r="U11" s="1">
        <v>0.0</v>
      </c>
      <c r="V11" s="1">
        <v>0.0</v>
      </c>
      <c r="W11" s="1">
        <v>310000.0</v>
      </c>
    </row>
    <row r="12" ht="17.25" customHeight="1">
      <c r="Q12" s="3"/>
      <c r="R12" s="4"/>
    </row>
    <row r="13" ht="17.25" customHeight="1">
      <c r="Q13" s="3"/>
      <c r="R13" s="4"/>
    </row>
    <row r="14" ht="17.25" customHeight="1">
      <c r="Q14" s="3"/>
      <c r="R14" s="4"/>
    </row>
    <row r="15" ht="17.25" customHeight="1">
      <c r="Q15" s="3"/>
      <c r="R15" s="4"/>
    </row>
    <row r="16" ht="17.25" customHeight="1">
      <c r="Q16" s="3"/>
      <c r="R16" s="4"/>
    </row>
    <row r="17" ht="17.25" customHeight="1">
      <c r="Q17" s="3"/>
      <c r="R17" s="4"/>
    </row>
    <row r="18" ht="17.25" customHeight="1">
      <c r="Q18" s="3"/>
      <c r="R18" s="4"/>
    </row>
    <row r="19" ht="17.25" customHeight="1">
      <c r="Q19" s="3"/>
      <c r="R19" s="4"/>
    </row>
    <row r="20" ht="17.25" customHeight="1">
      <c r="Q20" s="3"/>
      <c r="R20" s="4"/>
    </row>
    <row r="21" ht="17.25" customHeight="1">
      <c r="Q21" s="3"/>
      <c r="R21" s="4"/>
    </row>
    <row r="22" ht="17.25" customHeight="1">
      <c r="Q22" s="3"/>
      <c r="R22" s="4"/>
    </row>
    <row r="23" ht="17.25" customHeight="1">
      <c r="Q23" s="3"/>
      <c r="R23" s="4"/>
    </row>
    <row r="24" ht="17.25" customHeight="1">
      <c r="Q24" s="3"/>
      <c r="R24" s="4"/>
    </row>
    <row r="25" ht="17.25" customHeight="1">
      <c r="Q25" s="3"/>
      <c r="R25" s="4"/>
    </row>
    <row r="26" ht="17.25" customHeight="1">
      <c r="Q26" s="3"/>
      <c r="R26" s="4"/>
    </row>
    <row r="27" ht="17.25" customHeight="1">
      <c r="Q27" s="3"/>
      <c r="R27" s="4"/>
    </row>
    <row r="28" ht="17.25" customHeight="1">
      <c r="Q28" s="3"/>
      <c r="R28" s="4"/>
    </row>
    <row r="29" ht="17.25" customHeight="1">
      <c r="Q29" s="3"/>
      <c r="R29" s="4"/>
    </row>
    <row r="30" ht="17.25" customHeight="1">
      <c r="Q30" s="3"/>
      <c r="R30" s="4"/>
    </row>
    <row r="31" ht="17.25" customHeight="1">
      <c r="Q31" s="3"/>
      <c r="R31" s="4"/>
    </row>
    <row r="32" ht="17.25" customHeight="1">
      <c r="Q32" s="3"/>
      <c r="R32" s="4"/>
    </row>
    <row r="33" ht="17.25" customHeight="1">
      <c r="Q33" s="3"/>
      <c r="R33" s="4"/>
    </row>
    <row r="34" ht="17.25" customHeight="1">
      <c r="Q34" s="3"/>
      <c r="R34" s="4"/>
    </row>
    <row r="35" ht="17.25" customHeight="1">
      <c r="Q35" s="3"/>
      <c r="R35" s="4"/>
    </row>
    <row r="36" ht="17.25" customHeight="1">
      <c r="Q36" s="3"/>
      <c r="R36" s="4"/>
    </row>
    <row r="37" ht="17.25" customHeight="1">
      <c r="Q37" s="3"/>
      <c r="R37" s="4"/>
    </row>
    <row r="38" ht="17.25" customHeight="1">
      <c r="Q38" s="3"/>
      <c r="R38" s="4"/>
    </row>
    <row r="39" ht="17.25" customHeight="1">
      <c r="Q39" s="3"/>
      <c r="R39" s="4"/>
    </row>
    <row r="40" ht="17.25" customHeight="1">
      <c r="Q40" s="3"/>
      <c r="R40" s="4"/>
    </row>
    <row r="41" ht="17.25" customHeight="1">
      <c r="Q41" s="3"/>
      <c r="R41" s="4"/>
    </row>
    <row r="42" ht="17.25" customHeight="1">
      <c r="Q42" s="3"/>
      <c r="R42" s="4"/>
    </row>
    <row r="43" ht="17.25" customHeight="1">
      <c r="Q43" s="3"/>
      <c r="R43" s="4"/>
    </row>
    <row r="44" ht="17.25" customHeight="1">
      <c r="Q44" s="3"/>
      <c r="R44" s="4"/>
    </row>
    <row r="45" ht="17.25" customHeight="1">
      <c r="Q45" s="3"/>
      <c r="R45" s="4"/>
    </row>
    <row r="46" ht="17.25" customHeight="1">
      <c r="Q46" s="3"/>
      <c r="R46" s="4"/>
    </row>
    <row r="47" ht="17.25" customHeight="1">
      <c r="Q47" s="3"/>
      <c r="R47" s="4"/>
    </row>
    <row r="48" ht="17.25" customHeight="1">
      <c r="Q48" s="3"/>
      <c r="R48" s="4"/>
    </row>
    <row r="49" ht="17.25" customHeight="1">
      <c r="Q49" s="3"/>
      <c r="R49" s="4"/>
    </row>
    <row r="50" ht="17.25" customHeight="1">
      <c r="Q50" s="3"/>
      <c r="R50" s="4"/>
    </row>
    <row r="51" ht="17.25" customHeight="1">
      <c r="Q51" s="3"/>
      <c r="R51" s="4"/>
    </row>
    <row r="52" ht="17.25" customHeight="1">
      <c r="Q52" s="3"/>
      <c r="R52" s="4"/>
    </row>
    <row r="53" ht="17.25" customHeight="1">
      <c r="Q53" s="3"/>
      <c r="R53" s="4"/>
    </row>
    <row r="54" ht="17.25" customHeight="1">
      <c r="Q54" s="3"/>
      <c r="R54" s="4"/>
    </row>
    <row r="55" ht="17.25" customHeight="1">
      <c r="Q55" s="3"/>
      <c r="R55" s="4"/>
    </row>
    <row r="56" ht="17.25" customHeight="1">
      <c r="Q56" s="3"/>
      <c r="R56" s="4"/>
    </row>
    <row r="57" ht="17.25" customHeight="1">
      <c r="Q57" s="3"/>
      <c r="R57" s="4"/>
    </row>
    <row r="58" ht="17.25" customHeight="1">
      <c r="Q58" s="3"/>
      <c r="R58" s="4"/>
    </row>
    <row r="59" ht="17.25" customHeight="1">
      <c r="Q59" s="3"/>
      <c r="R59" s="4"/>
    </row>
    <row r="60" ht="17.25" customHeight="1">
      <c r="Q60" s="3"/>
      <c r="R60" s="4"/>
    </row>
    <row r="61" ht="17.25" customHeight="1">
      <c r="Q61" s="3"/>
      <c r="R61" s="4"/>
    </row>
    <row r="62" ht="17.25" customHeight="1">
      <c r="Q62" s="3"/>
      <c r="R62" s="4"/>
    </row>
    <row r="63" ht="17.25" customHeight="1">
      <c r="Q63" s="3"/>
      <c r="R63" s="4"/>
    </row>
    <row r="64" ht="17.25" customHeight="1">
      <c r="Q64" s="3"/>
      <c r="R64" s="4"/>
    </row>
    <row r="65" ht="17.25" customHeight="1">
      <c r="Q65" s="3"/>
      <c r="R65" s="4"/>
    </row>
    <row r="66" ht="17.25" customHeight="1">
      <c r="Q66" s="3"/>
      <c r="R66" s="4"/>
    </row>
    <row r="67" ht="17.25" customHeight="1">
      <c r="Q67" s="3"/>
      <c r="R67" s="4"/>
    </row>
    <row r="68" ht="17.25" customHeight="1">
      <c r="Q68" s="3"/>
      <c r="R68" s="4"/>
    </row>
    <row r="69" ht="17.25" customHeight="1">
      <c r="Q69" s="3"/>
      <c r="R69" s="4"/>
    </row>
    <row r="70" ht="17.25" customHeight="1">
      <c r="Q70" s="3"/>
      <c r="R70" s="4"/>
    </row>
    <row r="71" ht="17.25" customHeight="1">
      <c r="Q71" s="3"/>
      <c r="R71" s="4"/>
    </row>
    <row r="72" ht="17.25" customHeight="1">
      <c r="Q72" s="3"/>
      <c r="R72" s="4"/>
    </row>
    <row r="73" ht="17.25" customHeight="1">
      <c r="Q73" s="3"/>
      <c r="R73" s="4"/>
    </row>
    <row r="74" ht="17.25" customHeight="1">
      <c r="Q74" s="3"/>
      <c r="R74" s="4"/>
    </row>
    <row r="75" ht="17.25" customHeight="1">
      <c r="Q75" s="3"/>
      <c r="R75" s="4"/>
    </row>
    <row r="76" ht="17.25" customHeight="1">
      <c r="Q76" s="3"/>
      <c r="R76" s="4"/>
    </row>
    <row r="77" ht="17.25" customHeight="1">
      <c r="Q77" s="3"/>
      <c r="R77" s="4"/>
    </row>
    <row r="78" ht="17.25" customHeight="1">
      <c r="Q78" s="3"/>
      <c r="R78" s="4"/>
    </row>
    <row r="79" ht="17.25" customHeight="1">
      <c r="Q79" s="3"/>
      <c r="R79" s="4"/>
    </row>
    <row r="80" ht="17.25" customHeight="1">
      <c r="Q80" s="3"/>
      <c r="R80" s="4"/>
    </row>
    <row r="81" ht="17.25" customHeight="1">
      <c r="Q81" s="3"/>
      <c r="R81" s="4"/>
    </row>
    <row r="82" ht="17.25" customHeight="1">
      <c r="Q82" s="3"/>
      <c r="R82" s="4"/>
    </row>
    <row r="83" ht="17.25" customHeight="1">
      <c r="Q83" s="3"/>
      <c r="R83" s="4"/>
    </row>
    <row r="84" ht="17.25" customHeight="1">
      <c r="Q84" s="3"/>
      <c r="R84" s="4"/>
    </row>
    <row r="85" ht="17.25" customHeight="1">
      <c r="Q85" s="3"/>
      <c r="R85" s="4"/>
    </row>
    <row r="86" ht="17.25" customHeight="1">
      <c r="Q86" s="3"/>
      <c r="R86" s="4"/>
    </row>
    <row r="87" ht="17.25" customHeight="1">
      <c r="Q87" s="3"/>
      <c r="R87" s="4"/>
    </row>
    <row r="88" ht="17.25" customHeight="1">
      <c r="Q88" s="3"/>
      <c r="R88" s="4"/>
    </row>
    <row r="89" ht="17.25" customHeight="1">
      <c r="Q89" s="3"/>
      <c r="R89" s="4"/>
    </row>
    <row r="90" ht="17.25" customHeight="1">
      <c r="Q90" s="3"/>
      <c r="R90" s="4"/>
    </row>
    <row r="91" ht="17.25" customHeight="1">
      <c r="Q91" s="3"/>
      <c r="R91" s="4"/>
    </row>
    <row r="92" ht="17.25" customHeight="1">
      <c r="Q92" s="3"/>
      <c r="R92" s="4"/>
    </row>
    <row r="93" ht="17.25" customHeight="1">
      <c r="Q93" s="3"/>
      <c r="R93" s="4"/>
    </row>
    <row r="94" ht="17.25" customHeight="1">
      <c r="Q94" s="3"/>
      <c r="R94" s="4"/>
    </row>
    <row r="95" ht="17.25" customHeight="1">
      <c r="Q95" s="3"/>
      <c r="R95" s="4"/>
    </row>
    <row r="96" ht="17.25" customHeight="1">
      <c r="Q96" s="3"/>
      <c r="R96" s="4"/>
    </row>
    <row r="97" ht="17.25" customHeight="1">
      <c r="Q97" s="3"/>
      <c r="R97" s="4"/>
    </row>
    <row r="98" ht="17.25" customHeight="1">
      <c r="Q98" s="3"/>
      <c r="R98" s="4"/>
    </row>
    <row r="99" ht="17.25" customHeight="1">
      <c r="Q99" s="3"/>
      <c r="R99" s="4"/>
    </row>
    <row r="100" ht="17.25" customHeight="1">
      <c r="Q100" s="3"/>
      <c r="R100" s="4"/>
    </row>
    <row r="101" ht="17.25" customHeight="1">
      <c r="Q101" s="3"/>
      <c r="R101" s="4"/>
    </row>
    <row r="102" ht="17.25" customHeight="1">
      <c r="Q102" s="3"/>
      <c r="R102" s="4"/>
    </row>
    <row r="103" ht="17.25" customHeight="1">
      <c r="Q103" s="3"/>
      <c r="R103" s="4"/>
    </row>
    <row r="104" ht="17.25" customHeight="1">
      <c r="Q104" s="3"/>
      <c r="R104" s="4"/>
    </row>
    <row r="105" ht="17.25" customHeight="1">
      <c r="Q105" s="3"/>
      <c r="R105" s="4"/>
    </row>
    <row r="106" ht="17.25" customHeight="1">
      <c r="Q106" s="3"/>
      <c r="R106" s="4"/>
    </row>
    <row r="107" ht="17.25" customHeight="1">
      <c r="Q107" s="3"/>
      <c r="R107" s="4"/>
    </row>
    <row r="108" ht="17.25" customHeight="1">
      <c r="Q108" s="3"/>
      <c r="R108" s="4"/>
    </row>
    <row r="109" ht="17.25" customHeight="1">
      <c r="Q109" s="3"/>
      <c r="R109" s="4"/>
    </row>
    <row r="110" ht="17.25" customHeight="1">
      <c r="Q110" s="3"/>
      <c r="R110" s="4"/>
    </row>
    <row r="111" ht="17.25" customHeight="1">
      <c r="Q111" s="3"/>
      <c r="R111" s="4"/>
    </row>
    <row r="112" ht="17.25" customHeight="1">
      <c r="Q112" s="3"/>
      <c r="R112" s="4"/>
    </row>
    <row r="113" ht="17.25" customHeight="1">
      <c r="Q113" s="3"/>
      <c r="R113" s="4"/>
    </row>
    <row r="114" ht="17.25" customHeight="1">
      <c r="Q114" s="3"/>
      <c r="R114" s="4"/>
    </row>
    <row r="115" ht="17.25" customHeight="1">
      <c r="Q115" s="3"/>
      <c r="R115" s="4"/>
    </row>
    <row r="116" ht="17.25" customHeight="1">
      <c r="Q116" s="3"/>
      <c r="R116" s="4"/>
    </row>
    <row r="117" ht="17.25" customHeight="1">
      <c r="Q117" s="3"/>
      <c r="R117" s="4"/>
    </row>
    <row r="118" ht="17.25" customHeight="1">
      <c r="Q118" s="3"/>
      <c r="R118" s="4"/>
    </row>
    <row r="119" ht="17.25" customHeight="1">
      <c r="Q119" s="3"/>
      <c r="R119" s="4"/>
    </row>
    <row r="120" ht="17.25" customHeight="1">
      <c r="Q120" s="3"/>
      <c r="R120" s="4"/>
    </row>
    <row r="121" ht="17.25" customHeight="1">
      <c r="Q121" s="3"/>
      <c r="R121" s="4"/>
    </row>
    <row r="122" ht="17.25" customHeight="1">
      <c r="Q122" s="3"/>
      <c r="R122" s="4"/>
    </row>
    <row r="123" ht="17.25" customHeight="1">
      <c r="Q123" s="3"/>
      <c r="R123" s="4"/>
    </row>
    <row r="124" ht="17.25" customHeight="1">
      <c r="Q124" s="3"/>
      <c r="R124" s="4"/>
    </row>
    <row r="125" ht="17.25" customHeight="1">
      <c r="Q125" s="3"/>
      <c r="R125" s="4"/>
    </row>
    <row r="126" ht="17.25" customHeight="1">
      <c r="Q126" s="3"/>
      <c r="R126" s="4"/>
    </row>
    <row r="127" ht="17.25" customHeight="1">
      <c r="Q127" s="3"/>
      <c r="R127" s="4"/>
    </row>
    <row r="128" ht="17.25" customHeight="1">
      <c r="Q128" s="3"/>
      <c r="R128" s="4"/>
    </row>
    <row r="129" ht="17.25" customHeight="1">
      <c r="Q129" s="3"/>
      <c r="R129" s="4"/>
    </row>
    <row r="130" ht="17.25" customHeight="1">
      <c r="Q130" s="3"/>
      <c r="R130" s="4"/>
    </row>
    <row r="131" ht="17.25" customHeight="1">
      <c r="Q131" s="3"/>
      <c r="R131" s="4"/>
    </row>
    <row r="132" ht="17.25" customHeight="1">
      <c r="Q132" s="3"/>
      <c r="R132" s="4"/>
    </row>
    <row r="133" ht="17.25" customHeight="1">
      <c r="Q133" s="3"/>
      <c r="R133" s="4"/>
    </row>
    <row r="134" ht="17.25" customHeight="1">
      <c r="Q134" s="3"/>
      <c r="R134" s="4"/>
    </row>
    <row r="135" ht="17.25" customHeight="1">
      <c r="Q135" s="3"/>
      <c r="R135" s="4"/>
    </row>
    <row r="136" ht="17.25" customHeight="1">
      <c r="Q136" s="3"/>
      <c r="R136" s="4"/>
    </row>
    <row r="137" ht="17.25" customHeight="1">
      <c r="Q137" s="3"/>
      <c r="R137" s="4"/>
    </row>
    <row r="138" ht="17.25" customHeight="1">
      <c r="Q138" s="3"/>
      <c r="R138" s="4"/>
    </row>
    <row r="139" ht="17.25" customHeight="1">
      <c r="Q139" s="3"/>
      <c r="R139" s="4"/>
    </row>
    <row r="140" ht="17.25" customHeight="1">
      <c r="Q140" s="3"/>
      <c r="R140" s="4"/>
    </row>
    <row r="141" ht="17.25" customHeight="1">
      <c r="Q141" s="3"/>
      <c r="R141" s="4"/>
    </row>
    <row r="142" ht="17.25" customHeight="1">
      <c r="Q142" s="3"/>
      <c r="R142" s="4"/>
    </row>
    <row r="143" ht="17.25" customHeight="1">
      <c r="Q143" s="3"/>
      <c r="R143" s="4"/>
    </row>
    <row r="144" ht="17.25" customHeight="1">
      <c r="Q144" s="3"/>
      <c r="R144" s="4"/>
    </row>
    <row r="145" ht="17.25" customHeight="1">
      <c r="Q145" s="3"/>
      <c r="R145" s="4"/>
    </row>
    <row r="146" ht="17.25" customHeight="1">
      <c r="Q146" s="3"/>
      <c r="R146" s="4"/>
    </row>
    <row r="147" ht="17.25" customHeight="1">
      <c r="Q147" s="3"/>
      <c r="R147" s="4"/>
    </row>
    <row r="148" ht="17.25" customHeight="1">
      <c r="Q148" s="3"/>
      <c r="R148" s="4"/>
    </row>
    <row r="149" ht="17.25" customHeight="1">
      <c r="Q149" s="3"/>
      <c r="R149" s="4"/>
    </row>
    <row r="150" ht="17.25" customHeight="1">
      <c r="Q150" s="3"/>
      <c r="R150" s="4"/>
    </row>
    <row r="151" ht="17.25" customHeight="1">
      <c r="Q151" s="3"/>
      <c r="R151" s="4"/>
    </row>
    <row r="152" ht="17.25" customHeight="1">
      <c r="Q152" s="3"/>
      <c r="R152" s="4"/>
    </row>
    <row r="153" ht="17.25" customHeight="1">
      <c r="Q153" s="3"/>
      <c r="R153" s="4"/>
    </row>
    <row r="154" ht="17.25" customHeight="1">
      <c r="Q154" s="3"/>
      <c r="R154" s="4"/>
    </row>
    <row r="155" ht="17.25" customHeight="1">
      <c r="Q155" s="3"/>
      <c r="R155" s="4"/>
    </row>
    <row r="156" ht="17.25" customHeight="1">
      <c r="Q156" s="3"/>
      <c r="R156" s="4"/>
    </row>
    <row r="157" ht="17.25" customHeight="1">
      <c r="Q157" s="3"/>
      <c r="R157" s="4"/>
    </row>
    <row r="158" ht="17.25" customHeight="1">
      <c r="Q158" s="3"/>
      <c r="R158" s="4"/>
    </row>
    <row r="159" ht="17.25" customHeight="1">
      <c r="Q159" s="3"/>
      <c r="R159" s="4"/>
    </row>
    <row r="160" ht="17.25" customHeight="1">
      <c r="Q160" s="3"/>
      <c r="R160" s="4"/>
    </row>
    <row r="161" ht="17.25" customHeight="1">
      <c r="Q161" s="3"/>
      <c r="R161" s="4"/>
    </row>
    <row r="162" ht="17.25" customHeight="1">
      <c r="Q162" s="3"/>
      <c r="R162" s="4"/>
    </row>
    <row r="163" ht="17.25" customHeight="1">
      <c r="Q163" s="3"/>
      <c r="R163" s="4"/>
    </row>
    <row r="164" ht="17.25" customHeight="1">
      <c r="Q164" s="3"/>
      <c r="R164" s="4"/>
    </row>
    <row r="165" ht="17.25" customHeight="1">
      <c r="Q165" s="3"/>
      <c r="R165" s="4"/>
    </row>
    <row r="166" ht="17.25" customHeight="1">
      <c r="Q166" s="3"/>
      <c r="R166" s="4"/>
    </row>
    <row r="167" ht="17.25" customHeight="1">
      <c r="Q167" s="3"/>
      <c r="R167" s="4"/>
    </row>
    <row r="168" ht="17.25" customHeight="1">
      <c r="Q168" s="3"/>
      <c r="R168" s="4"/>
    </row>
    <row r="169" ht="17.25" customHeight="1">
      <c r="Q169" s="3"/>
      <c r="R169" s="4"/>
    </row>
    <row r="170" ht="17.25" customHeight="1">
      <c r="Q170" s="3"/>
      <c r="R170" s="4"/>
    </row>
    <row r="171" ht="17.25" customHeight="1">
      <c r="Q171" s="3"/>
      <c r="R171" s="4"/>
    </row>
    <row r="172" ht="17.25" customHeight="1">
      <c r="Q172" s="3"/>
      <c r="R172" s="4"/>
    </row>
    <row r="173" ht="17.25" customHeight="1">
      <c r="Q173" s="3"/>
      <c r="R173" s="4"/>
    </row>
    <row r="174" ht="17.25" customHeight="1">
      <c r="Q174" s="3"/>
      <c r="R174" s="4"/>
    </row>
    <row r="175" ht="17.25" customHeight="1">
      <c r="Q175" s="3"/>
      <c r="R175" s="4"/>
    </row>
    <row r="176" ht="17.25" customHeight="1">
      <c r="Q176" s="3"/>
      <c r="R176" s="4"/>
    </row>
    <row r="177" ht="17.25" customHeight="1">
      <c r="Q177" s="3"/>
      <c r="R177" s="4"/>
    </row>
    <row r="178" ht="17.25" customHeight="1">
      <c r="Q178" s="3"/>
      <c r="R178" s="4"/>
    </row>
    <row r="179" ht="17.25" customHeight="1">
      <c r="Q179" s="3"/>
      <c r="R179" s="4"/>
    </row>
    <row r="180" ht="17.25" customHeight="1">
      <c r="Q180" s="3"/>
      <c r="R180" s="4"/>
    </row>
    <row r="181" ht="17.25" customHeight="1">
      <c r="Q181" s="3"/>
      <c r="R181" s="4"/>
    </row>
    <row r="182" ht="17.25" customHeight="1">
      <c r="Q182" s="3"/>
      <c r="R182" s="4"/>
    </row>
    <row r="183" ht="17.25" customHeight="1">
      <c r="Q183" s="3"/>
      <c r="R183" s="4"/>
    </row>
    <row r="184" ht="17.25" customHeight="1">
      <c r="Q184" s="3"/>
      <c r="R184" s="4"/>
    </row>
    <row r="185" ht="17.25" customHeight="1">
      <c r="Q185" s="3"/>
      <c r="R185" s="4"/>
    </row>
    <row r="186" ht="17.25" customHeight="1">
      <c r="Q186" s="3"/>
      <c r="R186" s="4"/>
    </row>
    <row r="187" ht="17.25" customHeight="1">
      <c r="Q187" s="3"/>
      <c r="R187" s="4"/>
    </row>
    <row r="188" ht="17.25" customHeight="1">
      <c r="Q188" s="3"/>
      <c r="R188" s="4"/>
    </row>
    <row r="189" ht="17.25" customHeight="1">
      <c r="Q189" s="3"/>
      <c r="R189" s="4"/>
    </row>
    <row r="190" ht="17.25" customHeight="1">
      <c r="Q190" s="3"/>
      <c r="R190" s="4"/>
    </row>
    <row r="191" ht="17.25" customHeight="1">
      <c r="Q191" s="3"/>
      <c r="R191" s="4"/>
    </row>
    <row r="192" ht="17.25" customHeight="1">
      <c r="Q192" s="3"/>
      <c r="R192" s="4"/>
    </row>
    <row r="193" ht="17.25" customHeight="1">
      <c r="Q193" s="3"/>
      <c r="R193" s="4"/>
    </row>
    <row r="194" ht="17.25" customHeight="1">
      <c r="Q194" s="3"/>
      <c r="R194" s="4"/>
    </row>
    <row r="195" ht="17.25" customHeight="1">
      <c r="Q195" s="3"/>
      <c r="R195" s="4"/>
    </row>
    <row r="196" ht="17.25" customHeight="1">
      <c r="Q196" s="3"/>
      <c r="R196" s="4"/>
    </row>
    <row r="197" ht="17.25" customHeight="1">
      <c r="Q197" s="3"/>
      <c r="R197" s="4"/>
    </row>
    <row r="198" ht="17.25" customHeight="1">
      <c r="Q198" s="3"/>
      <c r="R198" s="4"/>
    </row>
    <row r="199" ht="17.25" customHeight="1">
      <c r="Q199" s="3"/>
      <c r="R199" s="4"/>
    </row>
    <row r="200" ht="17.25" customHeight="1">
      <c r="Q200" s="3"/>
      <c r="R200" s="4"/>
    </row>
    <row r="201" ht="17.25" customHeight="1">
      <c r="Q201" s="3"/>
      <c r="R201" s="4"/>
    </row>
    <row r="202" ht="17.25" customHeight="1">
      <c r="Q202" s="3"/>
      <c r="R202" s="4"/>
    </row>
    <row r="203" ht="17.25" customHeight="1">
      <c r="Q203" s="3"/>
      <c r="R203" s="4"/>
    </row>
    <row r="204" ht="17.25" customHeight="1">
      <c r="Q204" s="3"/>
      <c r="R204" s="4"/>
    </row>
    <row r="205" ht="17.25" customHeight="1">
      <c r="Q205" s="3"/>
      <c r="R205" s="4"/>
    </row>
    <row r="206" ht="17.25" customHeight="1">
      <c r="Q206" s="3"/>
      <c r="R206" s="4"/>
    </row>
    <row r="207" ht="17.25" customHeight="1">
      <c r="Q207" s="3"/>
      <c r="R207" s="4"/>
    </row>
    <row r="208" ht="17.25" customHeight="1">
      <c r="Q208" s="3"/>
      <c r="R208" s="4"/>
    </row>
    <row r="209" ht="17.25" customHeight="1">
      <c r="Q209" s="3"/>
      <c r="R209" s="4"/>
    </row>
    <row r="210" ht="17.25" customHeight="1">
      <c r="Q210" s="3"/>
      <c r="R210" s="4"/>
    </row>
    <row r="211" ht="17.25" customHeight="1">
      <c r="Q211" s="3"/>
      <c r="R211" s="4"/>
    </row>
    <row r="212" ht="17.25" customHeight="1">
      <c r="Q212" s="3"/>
      <c r="R212" s="4"/>
    </row>
    <row r="213" ht="17.25" customHeight="1">
      <c r="Q213" s="3"/>
      <c r="R213" s="4"/>
    </row>
    <row r="214" ht="17.25" customHeight="1">
      <c r="Q214" s="3"/>
      <c r="R214" s="4"/>
    </row>
    <row r="215" ht="17.25" customHeight="1">
      <c r="Q215" s="3"/>
      <c r="R215" s="4"/>
    </row>
    <row r="216" ht="17.25" customHeight="1">
      <c r="Q216" s="3"/>
      <c r="R216" s="4"/>
    </row>
    <row r="217" ht="17.25" customHeight="1">
      <c r="Q217" s="3"/>
      <c r="R217" s="4"/>
    </row>
    <row r="218" ht="17.25" customHeight="1">
      <c r="Q218" s="3"/>
      <c r="R218" s="4"/>
    </row>
    <row r="219" ht="17.25" customHeight="1">
      <c r="Q219" s="3"/>
      <c r="R219" s="4"/>
    </row>
    <row r="220" ht="17.25" customHeight="1">
      <c r="Q220" s="3"/>
      <c r="R220" s="4"/>
    </row>
    <row r="221" ht="17.25" customHeight="1">
      <c r="Q221" s="3"/>
      <c r="R221" s="4"/>
    </row>
    <row r="222" ht="17.25" customHeight="1">
      <c r="Q222" s="3"/>
      <c r="R222" s="4"/>
    </row>
    <row r="223" ht="17.25" customHeight="1">
      <c r="Q223" s="3"/>
      <c r="R223" s="4"/>
    </row>
    <row r="224" ht="17.25" customHeight="1">
      <c r="Q224" s="3"/>
      <c r="R224" s="4"/>
    </row>
    <row r="225" ht="17.25" customHeight="1">
      <c r="Q225" s="3"/>
      <c r="R225" s="4"/>
    </row>
    <row r="226" ht="17.25" customHeight="1">
      <c r="Q226" s="3"/>
      <c r="R226" s="4"/>
    </row>
    <row r="227" ht="17.25" customHeight="1">
      <c r="Q227" s="3"/>
      <c r="R227" s="4"/>
    </row>
    <row r="228" ht="17.25" customHeight="1">
      <c r="Q228" s="3"/>
      <c r="R228" s="4"/>
    </row>
    <row r="229" ht="17.25" customHeight="1">
      <c r="Q229" s="3"/>
      <c r="R229" s="4"/>
    </row>
    <row r="230" ht="17.25" customHeight="1">
      <c r="Q230" s="3"/>
      <c r="R230" s="4"/>
    </row>
    <row r="231" ht="17.25" customHeight="1">
      <c r="Q231" s="3"/>
      <c r="R231" s="4"/>
    </row>
    <row r="232" ht="17.25" customHeight="1">
      <c r="Q232" s="3"/>
      <c r="R232" s="4"/>
    </row>
    <row r="233" ht="17.25" customHeight="1">
      <c r="Q233" s="3"/>
      <c r="R233" s="4"/>
    </row>
    <row r="234" ht="17.25" customHeight="1">
      <c r="Q234" s="3"/>
      <c r="R234" s="4"/>
    </row>
    <row r="235" ht="17.25" customHeight="1">
      <c r="Q235" s="3"/>
      <c r="R235" s="4"/>
    </row>
    <row r="236" ht="17.25" customHeight="1">
      <c r="Q236" s="3"/>
      <c r="R236" s="4"/>
    </row>
    <row r="237" ht="17.25" customHeight="1">
      <c r="Q237" s="3"/>
      <c r="R237" s="4"/>
    </row>
    <row r="238" ht="17.25" customHeight="1">
      <c r="Q238" s="3"/>
      <c r="R238" s="4"/>
    </row>
    <row r="239" ht="17.25" customHeight="1">
      <c r="Q239" s="3"/>
      <c r="R239" s="4"/>
    </row>
    <row r="240" ht="17.25" customHeight="1">
      <c r="Q240" s="3"/>
      <c r="R240" s="4"/>
    </row>
    <row r="241" ht="17.25" customHeight="1">
      <c r="Q241" s="3"/>
      <c r="R241" s="4"/>
    </row>
    <row r="242" ht="17.25" customHeight="1">
      <c r="Q242" s="3"/>
      <c r="R242" s="4"/>
    </row>
    <row r="243" ht="17.25" customHeight="1">
      <c r="Q243" s="3"/>
      <c r="R243" s="4"/>
    </row>
    <row r="244" ht="17.25" customHeight="1">
      <c r="Q244" s="3"/>
      <c r="R244" s="4"/>
    </row>
    <row r="245" ht="17.25" customHeight="1">
      <c r="Q245" s="3"/>
      <c r="R245" s="4"/>
    </row>
    <row r="246" ht="17.25" customHeight="1">
      <c r="Q246" s="3"/>
      <c r="R246" s="4"/>
    </row>
    <row r="247" ht="17.25" customHeight="1">
      <c r="Q247" s="3"/>
      <c r="R247" s="4"/>
    </row>
    <row r="248" ht="17.25" customHeight="1">
      <c r="Q248" s="3"/>
      <c r="R248" s="4"/>
    </row>
    <row r="249" ht="17.25" customHeight="1">
      <c r="Q249" s="3"/>
      <c r="R249" s="4"/>
    </row>
    <row r="250" ht="17.25" customHeight="1">
      <c r="Q250" s="3"/>
      <c r="R250" s="4"/>
    </row>
    <row r="251" ht="17.25" customHeight="1">
      <c r="Q251" s="3"/>
      <c r="R251" s="4"/>
    </row>
    <row r="252" ht="17.25" customHeight="1">
      <c r="Q252" s="3"/>
      <c r="R252" s="4"/>
    </row>
    <row r="253" ht="17.25" customHeight="1">
      <c r="Q253" s="3"/>
      <c r="R253" s="4"/>
    </row>
    <row r="254" ht="17.25" customHeight="1">
      <c r="Q254" s="3"/>
      <c r="R254" s="4"/>
    </row>
    <row r="255" ht="17.25" customHeight="1">
      <c r="Q255" s="3"/>
      <c r="R255" s="4"/>
    </row>
    <row r="256" ht="17.25" customHeight="1">
      <c r="Q256" s="3"/>
      <c r="R256" s="4"/>
    </row>
    <row r="257" ht="17.25" customHeight="1">
      <c r="Q257" s="3"/>
      <c r="R257" s="4"/>
    </row>
    <row r="258" ht="17.25" customHeight="1">
      <c r="Q258" s="3"/>
      <c r="R258" s="4"/>
    </row>
    <row r="259" ht="17.25" customHeight="1">
      <c r="Q259" s="3"/>
      <c r="R259" s="4"/>
    </row>
    <row r="260" ht="17.25" customHeight="1">
      <c r="Q260" s="3"/>
      <c r="R260" s="4"/>
    </row>
    <row r="261" ht="17.25" customHeight="1">
      <c r="Q261" s="3"/>
      <c r="R261" s="4"/>
    </row>
    <row r="262" ht="17.25" customHeight="1">
      <c r="Q262" s="3"/>
      <c r="R262" s="4"/>
    </row>
    <row r="263" ht="17.25" customHeight="1">
      <c r="Q263" s="3"/>
      <c r="R263" s="4"/>
    </row>
    <row r="264" ht="17.25" customHeight="1">
      <c r="Q264" s="3"/>
      <c r="R264" s="4"/>
    </row>
    <row r="265" ht="17.25" customHeight="1">
      <c r="Q265" s="3"/>
      <c r="R265" s="4"/>
    </row>
    <row r="266" ht="17.25" customHeight="1">
      <c r="Q266" s="3"/>
      <c r="R266" s="4"/>
    </row>
    <row r="267" ht="17.25" customHeight="1">
      <c r="Q267" s="3"/>
      <c r="R267" s="4"/>
    </row>
    <row r="268" ht="17.25" customHeight="1">
      <c r="Q268" s="3"/>
      <c r="R268" s="4"/>
    </row>
    <row r="269" ht="17.25" customHeight="1">
      <c r="Q269" s="3"/>
      <c r="R269" s="4"/>
    </row>
    <row r="270" ht="17.25" customHeight="1">
      <c r="Q270" s="3"/>
      <c r="R270" s="4"/>
    </row>
    <row r="271" ht="17.25" customHeight="1">
      <c r="Q271" s="3"/>
      <c r="R271" s="4"/>
    </row>
    <row r="272" ht="17.25" customHeight="1">
      <c r="Q272" s="3"/>
      <c r="R272" s="4"/>
    </row>
    <row r="273" ht="17.25" customHeight="1">
      <c r="Q273" s="3"/>
      <c r="R273" s="4"/>
    </row>
    <row r="274" ht="17.25" customHeight="1">
      <c r="Q274" s="3"/>
      <c r="R274" s="4"/>
    </row>
    <row r="275" ht="17.25" customHeight="1">
      <c r="Q275" s="3"/>
      <c r="R275" s="4"/>
    </row>
    <row r="276" ht="17.25" customHeight="1">
      <c r="Q276" s="3"/>
      <c r="R276" s="4"/>
    </row>
    <row r="277" ht="17.25" customHeight="1">
      <c r="Q277" s="3"/>
      <c r="R277" s="4"/>
    </row>
    <row r="278" ht="17.25" customHeight="1">
      <c r="Q278" s="3"/>
      <c r="R278" s="4"/>
    </row>
    <row r="279" ht="17.25" customHeight="1">
      <c r="Q279" s="3"/>
      <c r="R279" s="4"/>
    </row>
    <row r="280" ht="17.25" customHeight="1">
      <c r="Q280" s="3"/>
      <c r="R280" s="4"/>
    </row>
    <row r="281" ht="17.25" customHeight="1">
      <c r="Q281" s="3"/>
      <c r="R281" s="4"/>
    </row>
    <row r="282" ht="17.25" customHeight="1">
      <c r="Q282" s="3"/>
      <c r="R282" s="4"/>
    </row>
    <row r="283" ht="17.25" customHeight="1">
      <c r="Q283" s="3"/>
      <c r="R283" s="4"/>
    </row>
    <row r="284" ht="17.25" customHeight="1">
      <c r="Q284" s="3"/>
      <c r="R284" s="4"/>
    </row>
    <row r="285" ht="17.25" customHeight="1">
      <c r="Q285" s="3"/>
      <c r="R285" s="4"/>
    </row>
    <row r="286" ht="17.25" customHeight="1">
      <c r="Q286" s="3"/>
      <c r="R286" s="4"/>
    </row>
    <row r="287" ht="17.25" customHeight="1">
      <c r="Q287" s="3"/>
      <c r="R287" s="4"/>
    </row>
    <row r="288" ht="17.25" customHeight="1">
      <c r="Q288" s="3"/>
      <c r="R288" s="4"/>
    </row>
    <row r="289" ht="17.25" customHeight="1">
      <c r="Q289" s="3"/>
      <c r="R289" s="4"/>
    </row>
    <row r="290" ht="17.25" customHeight="1">
      <c r="Q290" s="3"/>
      <c r="R290" s="4"/>
    </row>
    <row r="291" ht="17.25" customHeight="1">
      <c r="Q291" s="3"/>
      <c r="R291" s="4"/>
    </row>
    <row r="292" ht="17.25" customHeight="1">
      <c r="Q292" s="3"/>
      <c r="R292" s="4"/>
    </row>
    <row r="293" ht="17.25" customHeight="1">
      <c r="Q293" s="3"/>
      <c r="R293" s="4"/>
    </row>
    <row r="294" ht="17.25" customHeight="1">
      <c r="Q294" s="3"/>
      <c r="R294" s="4"/>
    </row>
    <row r="295" ht="17.25" customHeight="1">
      <c r="Q295" s="3"/>
      <c r="R295" s="4"/>
    </row>
    <row r="296" ht="17.25" customHeight="1">
      <c r="Q296" s="3"/>
      <c r="R296" s="4"/>
    </row>
    <row r="297" ht="17.25" customHeight="1">
      <c r="Q297" s="3"/>
      <c r="R297" s="4"/>
    </row>
    <row r="298" ht="17.25" customHeight="1">
      <c r="Q298" s="3"/>
      <c r="R298" s="4"/>
    </row>
    <row r="299" ht="17.25" customHeight="1">
      <c r="Q299" s="3"/>
      <c r="R299" s="4"/>
    </row>
    <row r="300" ht="17.25" customHeight="1">
      <c r="Q300" s="3"/>
      <c r="R300" s="4"/>
    </row>
    <row r="301" ht="17.25" customHeight="1">
      <c r="Q301" s="3"/>
      <c r="R301" s="4"/>
    </row>
    <row r="302" ht="17.25" customHeight="1">
      <c r="Q302" s="3"/>
      <c r="R302" s="4"/>
    </row>
    <row r="303" ht="17.25" customHeight="1">
      <c r="Q303" s="3"/>
      <c r="R303" s="4"/>
    </row>
    <row r="304" ht="17.25" customHeight="1">
      <c r="Q304" s="3"/>
      <c r="R304" s="4"/>
    </row>
    <row r="305" ht="17.25" customHeight="1">
      <c r="Q305" s="3"/>
      <c r="R305" s="4"/>
    </row>
    <row r="306" ht="17.25" customHeight="1">
      <c r="Q306" s="3"/>
      <c r="R306" s="4"/>
    </row>
    <row r="307" ht="17.25" customHeight="1">
      <c r="Q307" s="3"/>
      <c r="R307" s="4"/>
    </row>
    <row r="308" ht="17.25" customHeight="1">
      <c r="Q308" s="3"/>
      <c r="R308" s="4"/>
    </row>
    <row r="309" ht="17.25" customHeight="1">
      <c r="Q309" s="3"/>
      <c r="R309" s="4"/>
    </row>
    <row r="310" ht="17.25" customHeight="1">
      <c r="Q310" s="3"/>
      <c r="R310" s="4"/>
    </row>
    <row r="311" ht="17.25" customHeight="1">
      <c r="Q311" s="3"/>
      <c r="R311" s="4"/>
    </row>
    <row r="312" ht="17.25" customHeight="1">
      <c r="Q312" s="3"/>
      <c r="R312" s="4"/>
    </row>
    <row r="313" ht="17.25" customHeight="1">
      <c r="Q313" s="3"/>
      <c r="R313" s="4"/>
    </row>
    <row r="314" ht="17.25" customHeight="1">
      <c r="Q314" s="3"/>
      <c r="R314" s="4"/>
    </row>
    <row r="315" ht="17.25" customHeight="1">
      <c r="Q315" s="3"/>
      <c r="R315" s="4"/>
    </row>
    <row r="316" ht="17.25" customHeight="1">
      <c r="Q316" s="3"/>
      <c r="R316" s="4"/>
    </row>
    <row r="317" ht="17.25" customHeight="1">
      <c r="Q317" s="3"/>
      <c r="R317" s="4"/>
    </row>
    <row r="318" ht="17.25" customHeight="1">
      <c r="Q318" s="3"/>
      <c r="R318" s="4"/>
    </row>
    <row r="319" ht="17.25" customHeight="1">
      <c r="Q319" s="3"/>
      <c r="R319" s="4"/>
    </row>
    <row r="320" ht="17.25" customHeight="1">
      <c r="Q320" s="3"/>
      <c r="R320" s="4"/>
    </row>
    <row r="321" ht="17.25" customHeight="1">
      <c r="Q321" s="3"/>
      <c r="R321" s="4"/>
    </row>
    <row r="322" ht="17.25" customHeight="1">
      <c r="Q322" s="3"/>
      <c r="R322" s="4"/>
    </row>
    <row r="323" ht="17.25" customHeight="1">
      <c r="Q323" s="3"/>
      <c r="R323" s="4"/>
    </row>
    <row r="324" ht="17.25" customHeight="1">
      <c r="Q324" s="3"/>
      <c r="R324" s="4"/>
    </row>
    <row r="325" ht="17.25" customHeight="1">
      <c r="Q325" s="3"/>
      <c r="R325" s="4"/>
    </row>
    <row r="326" ht="17.25" customHeight="1">
      <c r="Q326" s="3"/>
      <c r="R326" s="4"/>
    </row>
    <row r="327" ht="17.25" customHeight="1">
      <c r="Q327" s="3"/>
      <c r="R327" s="4"/>
    </row>
    <row r="328" ht="17.25" customHeight="1">
      <c r="Q328" s="3"/>
      <c r="R328" s="4"/>
    </row>
    <row r="329" ht="17.25" customHeight="1">
      <c r="Q329" s="3"/>
      <c r="R329" s="4"/>
    </row>
    <row r="330" ht="17.25" customHeight="1">
      <c r="Q330" s="3"/>
      <c r="R330" s="4"/>
    </row>
    <row r="331" ht="17.25" customHeight="1">
      <c r="Q331" s="3"/>
      <c r="R331" s="4"/>
    </row>
    <row r="332" ht="17.25" customHeight="1">
      <c r="Q332" s="3"/>
      <c r="R332" s="4"/>
    </row>
    <row r="333" ht="17.25" customHeight="1">
      <c r="Q333" s="3"/>
      <c r="R333" s="4"/>
    </row>
    <row r="334" ht="17.25" customHeight="1">
      <c r="Q334" s="3"/>
      <c r="R334" s="4"/>
    </row>
    <row r="335" ht="17.25" customHeight="1">
      <c r="Q335" s="3"/>
      <c r="R335" s="4"/>
    </row>
    <row r="336" ht="17.25" customHeight="1">
      <c r="Q336" s="3"/>
      <c r="R336" s="4"/>
    </row>
    <row r="337" ht="17.25" customHeight="1">
      <c r="Q337" s="3"/>
      <c r="R337" s="4"/>
    </row>
    <row r="338" ht="17.25" customHeight="1">
      <c r="Q338" s="3"/>
      <c r="R338" s="4"/>
    </row>
    <row r="339" ht="17.25" customHeight="1">
      <c r="Q339" s="3"/>
      <c r="R339" s="4"/>
    </row>
    <row r="340" ht="17.25" customHeight="1">
      <c r="Q340" s="3"/>
      <c r="R340" s="4"/>
    </row>
    <row r="341" ht="17.25" customHeight="1">
      <c r="Q341" s="3"/>
      <c r="R341" s="4"/>
    </row>
    <row r="342" ht="17.25" customHeight="1">
      <c r="Q342" s="3"/>
      <c r="R342" s="4"/>
    </row>
    <row r="343" ht="17.25" customHeight="1">
      <c r="Q343" s="3"/>
      <c r="R343" s="4"/>
    </row>
    <row r="344" ht="17.25" customHeight="1">
      <c r="Q344" s="3"/>
      <c r="R344" s="4"/>
    </row>
    <row r="345" ht="17.25" customHeight="1">
      <c r="Q345" s="3"/>
      <c r="R345" s="4"/>
    </row>
    <row r="346" ht="17.25" customHeight="1">
      <c r="Q346" s="3"/>
      <c r="R346" s="4"/>
    </row>
    <row r="347" ht="17.25" customHeight="1">
      <c r="Q347" s="3"/>
      <c r="R347" s="4"/>
    </row>
    <row r="348" ht="17.25" customHeight="1">
      <c r="Q348" s="3"/>
      <c r="R348" s="4"/>
    </row>
    <row r="349" ht="17.25" customHeight="1">
      <c r="Q349" s="3"/>
      <c r="R349" s="4"/>
    </row>
    <row r="350" ht="17.25" customHeight="1">
      <c r="Q350" s="3"/>
      <c r="R350" s="4"/>
    </row>
    <row r="351" ht="17.25" customHeight="1">
      <c r="Q351" s="3"/>
      <c r="R351" s="4"/>
    </row>
    <row r="352" ht="17.25" customHeight="1">
      <c r="Q352" s="3"/>
      <c r="R352" s="4"/>
    </row>
    <row r="353" ht="17.25" customHeight="1">
      <c r="Q353" s="3"/>
      <c r="R353" s="4"/>
    </row>
    <row r="354" ht="17.25" customHeight="1">
      <c r="Q354" s="3"/>
      <c r="R354" s="4"/>
    </row>
    <row r="355" ht="17.25" customHeight="1">
      <c r="Q355" s="3"/>
      <c r="R355" s="4"/>
    </row>
    <row r="356" ht="17.25" customHeight="1">
      <c r="Q356" s="3"/>
      <c r="R356" s="4"/>
    </row>
    <row r="357" ht="17.25" customHeight="1">
      <c r="Q357" s="3"/>
      <c r="R357" s="4"/>
    </row>
    <row r="358" ht="17.25" customHeight="1">
      <c r="Q358" s="3"/>
      <c r="R358" s="4"/>
    </row>
    <row r="359" ht="17.25" customHeight="1">
      <c r="Q359" s="3"/>
      <c r="R359" s="4"/>
    </row>
    <row r="360" ht="17.25" customHeight="1">
      <c r="Q360" s="3"/>
      <c r="R360" s="4"/>
    </row>
    <row r="361" ht="17.25" customHeight="1">
      <c r="Q361" s="3"/>
      <c r="R361" s="4"/>
    </row>
    <row r="362" ht="17.25" customHeight="1">
      <c r="Q362" s="3"/>
      <c r="R362" s="4"/>
    </row>
    <row r="363" ht="17.25" customHeight="1">
      <c r="Q363" s="3"/>
      <c r="R363" s="4"/>
    </row>
    <row r="364" ht="17.25" customHeight="1">
      <c r="Q364" s="3"/>
      <c r="R364" s="4"/>
    </row>
    <row r="365" ht="17.25" customHeight="1">
      <c r="Q365" s="3"/>
      <c r="R365" s="4"/>
    </row>
    <row r="366" ht="17.25" customHeight="1">
      <c r="Q366" s="3"/>
      <c r="R366" s="4"/>
    </row>
    <row r="367" ht="17.25" customHeight="1">
      <c r="Q367" s="3"/>
      <c r="R367" s="4"/>
    </row>
    <row r="368" ht="17.25" customHeight="1">
      <c r="Q368" s="3"/>
      <c r="R368" s="4"/>
    </row>
    <row r="369" ht="17.25" customHeight="1">
      <c r="Q369" s="3"/>
      <c r="R369" s="4"/>
    </row>
    <row r="370" ht="17.25" customHeight="1">
      <c r="Q370" s="3"/>
      <c r="R370" s="4"/>
    </row>
    <row r="371" ht="17.25" customHeight="1">
      <c r="Q371" s="3"/>
      <c r="R371" s="4"/>
    </row>
    <row r="372" ht="17.25" customHeight="1">
      <c r="Q372" s="3"/>
      <c r="R372" s="4"/>
    </row>
    <row r="373" ht="17.25" customHeight="1">
      <c r="Q373" s="3"/>
      <c r="R373" s="4"/>
    </row>
    <row r="374" ht="17.25" customHeight="1">
      <c r="Q374" s="3"/>
      <c r="R374" s="4"/>
    </row>
    <row r="375" ht="17.25" customHeight="1">
      <c r="Q375" s="3"/>
      <c r="R375" s="4"/>
    </row>
    <row r="376" ht="17.25" customHeight="1">
      <c r="Q376" s="3"/>
      <c r="R376" s="4"/>
    </row>
    <row r="377" ht="17.25" customHeight="1">
      <c r="Q377" s="3"/>
      <c r="R377" s="4"/>
    </row>
    <row r="378" ht="17.25" customHeight="1">
      <c r="Q378" s="3"/>
      <c r="R378" s="4"/>
    </row>
    <row r="379" ht="17.25" customHeight="1">
      <c r="Q379" s="3"/>
      <c r="R379" s="4"/>
    </row>
    <row r="380" ht="17.25" customHeight="1">
      <c r="Q380" s="3"/>
      <c r="R380" s="4"/>
    </row>
    <row r="381" ht="17.25" customHeight="1">
      <c r="Q381" s="3"/>
      <c r="R381" s="4"/>
    </row>
    <row r="382" ht="17.25" customHeight="1">
      <c r="Q382" s="3"/>
      <c r="R382" s="4"/>
    </row>
    <row r="383" ht="17.25" customHeight="1">
      <c r="Q383" s="3"/>
      <c r="R383" s="4"/>
    </row>
    <row r="384" ht="17.25" customHeight="1">
      <c r="Q384" s="3"/>
      <c r="R384" s="4"/>
    </row>
    <row r="385" ht="17.25" customHeight="1">
      <c r="Q385" s="3"/>
      <c r="R385" s="4"/>
    </row>
    <row r="386" ht="17.25" customHeight="1">
      <c r="Q386" s="3"/>
      <c r="R386" s="4"/>
    </row>
    <row r="387" ht="17.25" customHeight="1">
      <c r="Q387" s="3"/>
      <c r="R387" s="4"/>
    </row>
    <row r="388" ht="17.25" customHeight="1">
      <c r="Q388" s="3"/>
      <c r="R388" s="4"/>
    </row>
    <row r="389" ht="17.25" customHeight="1">
      <c r="Q389" s="3"/>
      <c r="R389" s="4"/>
    </row>
    <row r="390" ht="17.25" customHeight="1">
      <c r="Q390" s="3"/>
      <c r="R390" s="4"/>
    </row>
    <row r="391" ht="17.25" customHeight="1">
      <c r="Q391" s="3"/>
      <c r="R391" s="4"/>
    </row>
    <row r="392" ht="17.25" customHeight="1">
      <c r="Q392" s="3"/>
      <c r="R392" s="4"/>
    </row>
    <row r="393" ht="17.25" customHeight="1">
      <c r="Q393" s="3"/>
      <c r="R393" s="4"/>
    </row>
    <row r="394" ht="17.25" customHeight="1">
      <c r="Q394" s="3"/>
      <c r="R394" s="4"/>
    </row>
    <row r="395" ht="17.25" customHeight="1">
      <c r="Q395" s="3"/>
      <c r="R395" s="4"/>
    </row>
    <row r="396" ht="17.25" customHeight="1">
      <c r="Q396" s="3"/>
      <c r="R396" s="4"/>
    </row>
    <row r="397" ht="17.25" customHeight="1">
      <c r="Q397" s="3"/>
      <c r="R397" s="4"/>
    </row>
    <row r="398" ht="17.25" customHeight="1">
      <c r="Q398" s="3"/>
      <c r="R398" s="4"/>
    </row>
    <row r="399" ht="17.25" customHeight="1">
      <c r="Q399" s="3"/>
      <c r="R399" s="4"/>
    </row>
    <row r="400" ht="17.25" customHeight="1">
      <c r="Q400" s="3"/>
      <c r="R400" s="4"/>
    </row>
    <row r="401" ht="17.25" customHeight="1">
      <c r="Q401" s="3"/>
      <c r="R401" s="4"/>
    </row>
    <row r="402" ht="17.25" customHeight="1">
      <c r="Q402" s="3"/>
      <c r="R402" s="4"/>
    </row>
    <row r="403" ht="17.25" customHeight="1">
      <c r="Q403" s="3"/>
      <c r="R403" s="4"/>
    </row>
    <row r="404" ht="17.25" customHeight="1">
      <c r="Q404" s="3"/>
      <c r="R404" s="4"/>
    </row>
    <row r="405" ht="17.25" customHeight="1">
      <c r="Q405" s="3"/>
      <c r="R405" s="4"/>
    </row>
    <row r="406" ht="17.25" customHeight="1">
      <c r="Q406" s="3"/>
      <c r="R406" s="4"/>
    </row>
    <row r="407" ht="17.25" customHeight="1">
      <c r="Q407" s="3"/>
      <c r="R407" s="4"/>
    </row>
    <row r="408" ht="17.25" customHeight="1">
      <c r="Q408" s="3"/>
      <c r="R408" s="4"/>
    </row>
    <row r="409" ht="17.25" customHeight="1">
      <c r="Q409" s="3"/>
      <c r="R409" s="4"/>
    </row>
    <row r="410" ht="17.25" customHeight="1">
      <c r="Q410" s="3"/>
      <c r="R410" s="4"/>
    </row>
    <row r="411" ht="17.25" customHeight="1">
      <c r="Q411" s="3"/>
      <c r="R411" s="4"/>
    </row>
    <row r="412" ht="17.25" customHeight="1">
      <c r="Q412" s="3"/>
      <c r="R412" s="4"/>
    </row>
    <row r="413" ht="17.25" customHeight="1">
      <c r="Q413" s="3"/>
      <c r="R413" s="4"/>
    </row>
    <row r="414" ht="17.25" customHeight="1">
      <c r="Q414" s="3"/>
      <c r="R414" s="4"/>
    </row>
    <row r="415" ht="17.25" customHeight="1">
      <c r="Q415" s="3"/>
      <c r="R415" s="4"/>
    </row>
    <row r="416" ht="17.25" customHeight="1">
      <c r="Q416" s="3"/>
      <c r="R416" s="4"/>
    </row>
    <row r="417" ht="17.25" customHeight="1">
      <c r="Q417" s="3"/>
      <c r="R417" s="4"/>
    </row>
    <row r="418" ht="17.25" customHeight="1">
      <c r="Q418" s="3"/>
      <c r="R418" s="4"/>
    </row>
    <row r="419" ht="17.25" customHeight="1">
      <c r="Q419" s="3"/>
      <c r="R419" s="4"/>
    </row>
    <row r="420" ht="17.25" customHeight="1">
      <c r="Q420" s="3"/>
      <c r="R420" s="4"/>
    </row>
    <row r="421" ht="17.25" customHeight="1">
      <c r="Q421" s="3"/>
      <c r="R421" s="4"/>
    </row>
    <row r="422" ht="17.25" customHeight="1">
      <c r="Q422" s="3"/>
      <c r="R422" s="4"/>
    </row>
    <row r="423" ht="17.25" customHeight="1">
      <c r="Q423" s="3"/>
      <c r="R423" s="4"/>
    </row>
    <row r="424" ht="17.25" customHeight="1">
      <c r="Q424" s="3"/>
      <c r="R424" s="4"/>
    </row>
    <row r="425" ht="17.25" customHeight="1">
      <c r="Q425" s="3"/>
      <c r="R425" s="4"/>
    </row>
    <row r="426" ht="17.25" customHeight="1">
      <c r="Q426" s="3"/>
      <c r="R426" s="4"/>
    </row>
    <row r="427" ht="17.25" customHeight="1">
      <c r="Q427" s="3"/>
      <c r="R427" s="4"/>
    </row>
    <row r="428" ht="17.25" customHeight="1">
      <c r="Q428" s="3"/>
      <c r="R428" s="4"/>
    </row>
    <row r="429" ht="17.25" customHeight="1">
      <c r="Q429" s="3"/>
      <c r="R429" s="4"/>
    </row>
    <row r="430" ht="17.25" customHeight="1">
      <c r="Q430" s="3"/>
      <c r="R430" s="4"/>
    </row>
    <row r="431" ht="17.25" customHeight="1">
      <c r="Q431" s="3"/>
      <c r="R431" s="4"/>
    </row>
    <row r="432" ht="17.25" customHeight="1">
      <c r="Q432" s="3"/>
      <c r="R432" s="4"/>
    </row>
    <row r="433" ht="17.25" customHeight="1">
      <c r="Q433" s="3"/>
      <c r="R433" s="4"/>
    </row>
    <row r="434" ht="17.25" customHeight="1">
      <c r="Q434" s="3"/>
      <c r="R434" s="4"/>
    </row>
    <row r="435" ht="17.25" customHeight="1">
      <c r="Q435" s="3"/>
      <c r="R435" s="4"/>
    </row>
    <row r="436" ht="17.25" customHeight="1">
      <c r="Q436" s="3"/>
      <c r="R436" s="4"/>
    </row>
    <row r="437" ht="17.25" customHeight="1">
      <c r="Q437" s="3"/>
      <c r="R437" s="4"/>
    </row>
    <row r="438" ht="17.25" customHeight="1">
      <c r="Q438" s="3"/>
      <c r="R438" s="4"/>
    </row>
    <row r="439" ht="17.25" customHeight="1">
      <c r="Q439" s="3"/>
      <c r="R439" s="4"/>
    </row>
    <row r="440" ht="17.25" customHeight="1">
      <c r="Q440" s="3"/>
      <c r="R440" s="4"/>
    </row>
    <row r="441" ht="17.25" customHeight="1">
      <c r="Q441" s="3"/>
      <c r="R441" s="4"/>
    </row>
    <row r="442" ht="17.25" customHeight="1">
      <c r="Q442" s="3"/>
      <c r="R442" s="4"/>
    </row>
    <row r="443" ht="17.25" customHeight="1">
      <c r="Q443" s="3"/>
      <c r="R443" s="4"/>
    </row>
    <row r="444" ht="17.25" customHeight="1">
      <c r="Q444" s="3"/>
      <c r="R444" s="4"/>
    </row>
    <row r="445" ht="17.25" customHeight="1">
      <c r="Q445" s="3"/>
      <c r="R445" s="4"/>
    </row>
    <row r="446" ht="17.25" customHeight="1">
      <c r="Q446" s="3"/>
      <c r="R446" s="4"/>
    </row>
    <row r="447" ht="17.25" customHeight="1">
      <c r="Q447" s="3"/>
      <c r="R447" s="4"/>
    </row>
    <row r="448" ht="17.25" customHeight="1">
      <c r="Q448" s="3"/>
      <c r="R448" s="4"/>
    </row>
    <row r="449" ht="17.25" customHeight="1">
      <c r="Q449" s="3"/>
      <c r="R449" s="4"/>
    </row>
    <row r="450" ht="17.25" customHeight="1">
      <c r="Q450" s="3"/>
      <c r="R450" s="4"/>
    </row>
    <row r="451" ht="17.25" customHeight="1">
      <c r="Q451" s="3"/>
      <c r="R451" s="4"/>
    </row>
    <row r="452" ht="17.25" customHeight="1">
      <c r="Q452" s="3"/>
      <c r="R452" s="4"/>
    </row>
    <row r="453" ht="17.25" customHeight="1">
      <c r="Q453" s="3"/>
      <c r="R453" s="4"/>
    </row>
    <row r="454" ht="17.25" customHeight="1">
      <c r="Q454" s="3"/>
      <c r="R454" s="4"/>
    </row>
    <row r="455" ht="17.25" customHeight="1">
      <c r="Q455" s="3"/>
      <c r="R455" s="4"/>
    </row>
    <row r="456" ht="17.25" customHeight="1">
      <c r="Q456" s="3"/>
      <c r="R456" s="4"/>
    </row>
    <row r="457" ht="17.25" customHeight="1">
      <c r="Q457" s="3"/>
      <c r="R457" s="4"/>
    </row>
    <row r="458" ht="17.25" customHeight="1">
      <c r="Q458" s="3"/>
      <c r="R458" s="4"/>
    </row>
    <row r="459" ht="17.25" customHeight="1">
      <c r="Q459" s="3"/>
      <c r="R459" s="4"/>
    </row>
    <row r="460" ht="17.25" customHeight="1">
      <c r="Q460" s="3"/>
      <c r="R460" s="4"/>
    </row>
    <row r="461" ht="17.25" customHeight="1">
      <c r="Q461" s="3"/>
      <c r="R461" s="4"/>
    </row>
    <row r="462" ht="17.25" customHeight="1">
      <c r="Q462" s="3"/>
      <c r="R462" s="4"/>
    </row>
    <row r="463" ht="17.25" customHeight="1">
      <c r="Q463" s="3"/>
      <c r="R463" s="4"/>
    </row>
    <row r="464" ht="17.25" customHeight="1">
      <c r="Q464" s="3"/>
      <c r="R464" s="4"/>
    </row>
    <row r="465" ht="17.25" customHeight="1">
      <c r="Q465" s="3"/>
      <c r="R465" s="4"/>
    </row>
    <row r="466" ht="17.25" customHeight="1">
      <c r="Q466" s="3"/>
      <c r="R466" s="4"/>
    </row>
    <row r="467" ht="17.25" customHeight="1">
      <c r="Q467" s="3"/>
      <c r="R467" s="4"/>
    </row>
    <row r="468" ht="17.25" customHeight="1">
      <c r="Q468" s="3"/>
      <c r="R468" s="4"/>
    </row>
    <row r="469" ht="17.25" customHeight="1">
      <c r="Q469" s="3"/>
      <c r="R469" s="4"/>
    </row>
    <row r="470" ht="17.25" customHeight="1">
      <c r="Q470" s="3"/>
      <c r="R470" s="4"/>
    </row>
    <row r="471" ht="17.25" customHeight="1">
      <c r="Q471" s="3"/>
      <c r="R471" s="4"/>
    </row>
    <row r="472" ht="17.25" customHeight="1">
      <c r="Q472" s="3"/>
      <c r="R472" s="4"/>
    </row>
    <row r="473" ht="17.25" customHeight="1">
      <c r="Q473" s="3"/>
      <c r="R473" s="4"/>
    </row>
    <row r="474" ht="17.25" customHeight="1">
      <c r="Q474" s="3"/>
      <c r="R474" s="4"/>
    </row>
    <row r="475" ht="17.25" customHeight="1">
      <c r="Q475" s="3"/>
      <c r="R475" s="4"/>
    </row>
    <row r="476" ht="17.25" customHeight="1">
      <c r="Q476" s="3"/>
      <c r="R476" s="4"/>
    </row>
    <row r="477" ht="17.25" customHeight="1">
      <c r="Q477" s="3"/>
      <c r="R477" s="4"/>
    </row>
    <row r="478" ht="17.25" customHeight="1">
      <c r="Q478" s="3"/>
      <c r="R478" s="4"/>
    </row>
    <row r="479" ht="17.25" customHeight="1">
      <c r="Q479" s="3"/>
      <c r="R479" s="4"/>
    </row>
    <row r="480" ht="17.25" customHeight="1">
      <c r="Q480" s="3"/>
      <c r="R480" s="4"/>
    </row>
    <row r="481" ht="17.25" customHeight="1">
      <c r="Q481" s="3"/>
      <c r="R481" s="4"/>
    </row>
    <row r="482" ht="17.25" customHeight="1">
      <c r="Q482" s="3"/>
      <c r="R482" s="4"/>
    </row>
    <row r="483" ht="17.25" customHeight="1">
      <c r="Q483" s="3"/>
      <c r="R483" s="4"/>
    </row>
    <row r="484" ht="17.25" customHeight="1">
      <c r="Q484" s="3"/>
      <c r="R484" s="4"/>
    </row>
    <row r="485" ht="17.25" customHeight="1">
      <c r="Q485" s="3"/>
      <c r="R485" s="4"/>
    </row>
    <row r="486" ht="17.25" customHeight="1">
      <c r="Q486" s="3"/>
      <c r="R486" s="4"/>
    </row>
    <row r="487" ht="17.25" customHeight="1">
      <c r="Q487" s="3"/>
      <c r="R487" s="4"/>
    </row>
    <row r="488" ht="17.25" customHeight="1">
      <c r="Q488" s="3"/>
      <c r="R488" s="4"/>
    </row>
    <row r="489" ht="17.25" customHeight="1">
      <c r="Q489" s="3"/>
      <c r="R489" s="4"/>
    </row>
    <row r="490" ht="17.25" customHeight="1">
      <c r="Q490" s="3"/>
      <c r="R490" s="4"/>
    </row>
    <row r="491" ht="17.25" customHeight="1">
      <c r="Q491" s="3"/>
      <c r="R491" s="4"/>
    </row>
    <row r="492" ht="17.25" customHeight="1">
      <c r="Q492" s="3"/>
      <c r="R492" s="4"/>
    </row>
    <row r="493" ht="17.25" customHeight="1">
      <c r="Q493" s="3"/>
      <c r="R493" s="4"/>
    </row>
    <row r="494" ht="17.25" customHeight="1">
      <c r="Q494" s="3"/>
      <c r="R494" s="4"/>
    </row>
    <row r="495" ht="17.25" customHeight="1">
      <c r="Q495" s="3"/>
      <c r="R495" s="4"/>
    </row>
    <row r="496" ht="17.25" customHeight="1">
      <c r="Q496" s="3"/>
      <c r="R496" s="4"/>
    </row>
    <row r="497" ht="17.25" customHeight="1">
      <c r="Q497" s="3"/>
      <c r="R497" s="4"/>
    </row>
    <row r="498" ht="17.25" customHeight="1">
      <c r="Q498" s="3"/>
      <c r="R498" s="4"/>
    </row>
    <row r="499" ht="17.25" customHeight="1">
      <c r="Q499" s="3"/>
      <c r="R499" s="4"/>
    </row>
    <row r="500" ht="17.25" customHeight="1">
      <c r="Q500" s="3"/>
      <c r="R500" s="4"/>
    </row>
    <row r="501" ht="17.25" customHeight="1">
      <c r="Q501" s="3"/>
      <c r="R501" s="4"/>
    </row>
    <row r="502" ht="17.25" customHeight="1">
      <c r="Q502" s="3"/>
      <c r="R502" s="4"/>
    </row>
    <row r="503" ht="17.25" customHeight="1">
      <c r="Q503" s="3"/>
      <c r="R503" s="4"/>
    </row>
    <row r="504" ht="17.25" customHeight="1">
      <c r="Q504" s="3"/>
      <c r="R504" s="4"/>
    </row>
    <row r="505" ht="17.25" customHeight="1">
      <c r="Q505" s="3"/>
      <c r="R505" s="4"/>
    </row>
    <row r="506" ht="17.25" customHeight="1">
      <c r="Q506" s="3"/>
      <c r="R506" s="4"/>
    </row>
    <row r="507" ht="17.25" customHeight="1">
      <c r="Q507" s="3"/>
      <c r="R507" s="4"/>
    </row>
    <row r="508" ht="17.25" customHeight="1">
      <c r="Q508" s="3"/>
      <c r="R508" s="4"/>
    </row>
    <row r="509" ht="17.25" customHeight="1">
      <c r="Q509" s="3"/>
      <c r="R509" s="4"/>
    </row>
    <row r="510" ht="17.25" customHeight="1">
      <c r="Q510" s="3"/>
      <c r="R510" s="4"/>
    </row>
    <row r="511" ht="17.25" customHeight="1">
      <c r="Q511" s="3"/>
      <c r="R511" s="4"/>
    </row>
    <row r="512" ht="17.25" customHeight="1">
      <c r="Q512" s="3"/>
      <c r="R512" s="4"/>
    </row>
    <row r="513" ht="17.25" customHeight="1">
      <c r="Q513" s="3"/>
      <c r="R513" s="4"/>
    </row>
    <row r="514" ht="17.25" customHeight="1">
      <c r="Q514" s="3"/>
      <c r="R514" s="4"/>
    </row>
    <row r="515" ht="17.25" customHeight="1">
      <c r="Q515" s="3"/>
      <c r="R515" s="4"/>
    </row>
    <row r="516" ht="17.25" customHeight="1">
      <c r="Q516" s="3"/>
      <c r="R516" s="4"/>
    </row>
    <row r="517" ht="17.25" customHeight="1">
      <c r="Q517" s="3"/>
      <c r="R517" s="4"/>
    </row>
    <row r="518" ht="17.25" customHeight="1">
      <c r="Q518" s="3"/>
      <c r="R518" s="4"/>
    </row>
    <row r="519" ht="17.25" customHeight="1">
      <c r="Q519" s="3"/>
      <c r="R519" s="4"/>
    </row>
    <row r="520" ht="17.25" customHeight="1">
      <c r="Q520" s="3"/>
      <c r="R520" s="4"/>
    </row>
    <row r="521" ht="17.25" customHeight="1">
      <c r="Q521" s="3"/>
      <c r="R521" s="4"/>
    </row>
    <row r="522" ht="17.25" customHeight="1">
      <c r="Q522" s="3"/>
      <c r="R522" s="4"/>
    </row>
    <row r="523" ht="17.25" customHeight="1">
      <c r="Q523" s="3"/>
      <c r="R523" s="4"/>
    </row>
    <row r="524" ht="17.25" customHeight="1">
      <c r="Q524" s="3"/>
      <c r="R524" s="4"/>
    </row>
    <row r="525" ht="17.25" customHeight="1">
      <c r="Q525" s="3"/>
      <c r="R525" s="4"/>
    </row>
    <row r="526" ht="17.25" customHeight="1">
      <c r="Q526" s="3"/>
      <c r="R526" s="4"/>
    </row>
    <row r="527" ht="17.25" customHeight="1">
      <c r="Q527" s="3"/>
      <c r="R527" s="4"/>
    </row>
    <row r="528" ht="17.25" customHeight="1">
      <c r="Q528" s="3"/>
      <c r="R528" s="4"/>
    </row>
    <row r="529" ht="17.25" customHeight="1">
      <c r="Q529" s="3"/>
      <c r="R529" s="4"/>
    </row>
    <row r="530" ht="17.25" customHeight="1">
      <c r="Q530" s="3"/>
      <c r="R530" s="4"/>
    </row>
    <row r="531" ht="17.25" customHeight="1">
      <c r="Q531" s="3"/>
      <c r="R531" s="4"/>
    </row>
    <row r="532" ht="17.25" customHeight="1">
      <c r="Q532" s="3"/>
      <c r="R532" s="4"/>
    </row>
    <row r="533" ht="17.25" customHeight="1">
      <c r="Q533" s="3"/>
      <c r="R533" s="4"/>
    </row>
    <row r="534" ht="17.25" customHeight="1">
      <c r="Q534" s="3"/>
      <c r="R534" s="4"/>
    </row>
    <row r="535" ht="17.25" customHeight="1">
      <c r="Q535" s="3"/>
      <c r="R535" s="4"/>
    </row>
    <row r="536" ht="17.25" customHeight="1">
      <c r="Q536" s="3"/>
      <c r="R536" s="4"/>
    </row>
    <row r="537" ht="17.25" customHeight="1">
      <c r="Q537" s="3"/>
      <c r="R537" s="4"/>
    </row>
    <row r="538" ht="17.25" customHeight="1">
      <c r="Q538" s="3"/>
      <c r="R538" s="4"/>
    </row>
    <row r="539" ht="17.25" customHeight="1">
      <c r="Q539" s="3"/>
      <c r="R539" s="4"/>
    </row>
    <row r="540" ht="17.25" customHeight="1">
      <c r="Q540" s="3"/>
      <c r="R540" s="4"/>
    </row>
    <row r="541" ht="17.25" customHeight="1">
      <c r="Q541" s="3"/>
      <c r="R541" s="4"/>
    </row>
    <row r="542" ht="17.25" customHeight="1">
      <c r="Q542" s="3"/>
      <c r="R542" s="4"/>
    </row>
    <row r="543" ht="17.25" customHeight="1">
      <c r="Q543" s="3"/>
      <c r="R543" s="4"/>
    </row>
    <row r="544" ht="17.25" customHeight="1">
      <c r="Q544" s="3"/>
      <c r="R544" s="4"/>
    </row>
    <row r="545" ht="17.25" customHeight="1">
      <c r="Q545" s="3"/>
      <c r="R545" s="4"/>
    </row>
    <row r="546" ht="17.25" customHeight="1">
      <c r="Q546" s="3"/>
      <c r="R546" s="4"/>
    </row>
    <row r="547" ht="17.25" customHeight="1">
      <c r="Q547" s="3"/>
      <c r="R547" s="4"/>
    </row>
    <row r="548" ht="17.25" customHeight="1">
      <c r="Q548" s="3"/>
      <c r="R548" s="4"/>
    </row>
    <row r="549" ht="17.25" customHeight="1">
      <c r="Q549" s="3"/>
      <c r="R549" s="4"/>
    </row>
    <row r="550" ht="17.25" customHeight="1">
      <c r="Q550" s="3"/>
      <c r="R550" s="4"/>
    </row>
    <row r="551" ht="17.25" customHeight="1">
      <c r="Q551" s="3"/>
      <c r="R551" s="4"/>
    </row>
    <row r="552" ht="17.25" customHeight="1">
      <c r="Q552" s="3"/>
      <c r="R552" s="4"/>
    </row>
    <row r="553" ht="17.25" customHeight="1">
      <c r="Q553" s="3"/>
      <c r="R553" s="4"/>
    </row>
    <row r="554" ht="17.25" customHeight="1">
      <c r="Q554" s="3"/>
      <c r="R554" s="4"/>
    </row>
    <row r="555" ht="17.25" customHeight="1">
      <c r="Q555" s="3"/>
      <c r="R555" s="4"/>
    </row>
    <row r="556" ht="17.25" customHeight="1">
      <c r="Q556" s="3"/>
      <c r="R556" s="4"/>
    </row>
    <row r="557" ht="17.25" customHeight="1">
      <c r="Q557" s="3"/>
      <c r="R557" s="4"/>
    </row>
    <row r="558" ht="17.25" customHeight="1">
      <c r="Q558" s="3"/>
      <c r="R558" s="4"/>
    </row>
    <row r="559" ht="17.25" customHeight="1">
      <c r="Q559" s="3"/>
      <c r="R559" s="4"/>
    </row>
    <row r="560" ht="17.25" customHeight="1">
      <c r="Q560" s="3"/>
      <c r="R560" s="4"/>
    </row>
    <row r="561" ht="17.25" customHeight="1">
      <c r="Q561" s="3"/>
      <c r="R561" s="4"/>
    </row>
    <row r="562" ht="17.25" customHeight="1">
      <c r="Q562" s="3"/>
      <c r="R562" s="4"/>
    </row>
    <row r="563" ht="17.25" customHeight="1">
      <c r="Q563" s="3"/>
      <c r="R563" s="4"/>
    </row>
    <row r="564" ht="17.25" customHeight="1">
      <c r="Q564" s="3"/>
      <c r="R564" s="4"/>
    </row>
    <row r="565" ht="17.25" customHeight="1">
      <c r="Q565" s="3"/>
      <c r="R565" s="4"/>
    </row>
    <row r="566" ht="17.25" customHeight="1">
      <c r="Q566" s="3"/>
      <c r="R566" s="4"/>
    </row>
    <row r="567" ht="17.25" customHeight="1">
      <c r="Q567" s="3"/>
      <c r="R567" s="4"/>
    </row>
    <row r="568" ht="17.25" customHeight="1">
      <c r="Q568" s="3"/>
      <c r="R568" s="4"/>
    </row>
    <row r="569" ht="17.25" customHeight="1">
      <c r="Q569" s="3"/>
      <c r="R569" s="4"/>
    </row>
    <row r="570" ht="17.25" customHeight="1">
      <c r="Q570" s="3"/>
      <c r="R570" s="4"/>
    </row>
    <row r="571" ht="17.25" customHeight="1">
      <c r="Q571" s="3"/>
      <c r="R571" s="4"/>
    </row>
    <row r="572" ht="17.25" customHeight="1">
      <c r="Q572" s="3"/>
      <c r="R572" s="4"/>
    </row>
    <row r="573" ht="17.25" customHeight="1">
      <c r="Q573" s="3"/>
      <c r="R573" s="4"/>
    </row>
    <row r="574" ht="17.25" customHeight="1">
      <c r="Q574" s="3"/>
      <c r="R574" s="4"/>
    </row>
    <row r="575" ht="17.25" customHeight="1">
      <c r="Q575" s="3"/>
      <c r="R575" s="4"/>
    </row>
    <row r="576" ht="17.25" customHeight="1">
      <c r="Q576" s="3"/>
      <c r="R576" s="4"/>
    </row>
    <row r="577" ht="17.25" customHeight="1">
      <c r="Q577" s="3"/>
      <c r="R577" s="4"/>
    </row>
    <row r="578" ht="17.25" customHeight="1">
      <c r="Q578" s="3"/>
      <c r="R578" s="4"/>
    </row>
    <row r="579" ht="17.25" customHeight="1">
      <c r="Q579" s="3"/>
      <c r="R579" s="4"/>
    </row>
    <row r="580" ht="17.25" customHeight="1">
      <c r="Q580" s="3"/>
      <c r="R580" s="4"/>
    </row>
    <row r="581" ht="17.25" customHeight="1">
      <c r="Q581" s="3"/>
      <c r="R581" s="4"/>
    </row>
    <row r="582" ht="17.25" customHeight="1">
      <c r="Q582" s="3"/>
      <c r="R582" s="4"/>
    </row>
    <row r="583" ht="17.25" customHeight="1">
      <c r="Q583" s="3"/>
      <c r="R583" s="4"/>
    </row>
    <row r="584" ht="17.25" customHeight="1">
      <c r="Q584" s="3"/>
      <c r="R584" s="4"/>
    </row>
    <row r="585" ht="17.25" customHeight="1">
      <c r="Q585" s="3"/>
      <c r="R585" s="4"/>
    </row>
    <row r="586" ht="17.25" customHeight="1">
      <c r="Q586" s="3"/>
      <c r="R586" s="4"/>
    </row>
    <row r="587" ht="17.25" customHeight="1">
      <c r="Q587" s="3"/>
      <c r="R587" s="4"/>
    </row>
    <row r="588" ht="17.25" customHeight="1">
      <c r="Q588" s="3"/>
      <c r="R588" s="4"/>
    </row>
    <row r="589" ht="17.25" customHeight="1">
      <c r="Q589" s="3"/>
      <c r="R589" s="4"/>
    </row>
    <row r="590" ht="17.25" customHeight="1">
      <c r="Q590" s="3"/>
      <c r="R590" s="4"/>
    </row>
    <row r="591" ht="17.25" customHeight="1">
      <c r="Q591" s="3"/>
      <c r="R591" s="4"/>
    </row>
    <row r="592" ht="17.25" customHeight="1">
      <c r="Q592" s="3"/>
      <c r="R592" s="4"/>
    </row>
    <row r="593" ht="17.25" customHeight="1">
      <c r="Q593" s="3"/>
      <c r="R593" s="4"/>
    </row>
    <row r="594" ht="17.25" customHeight="1">
      <c r="Q594" s="3"/>
      <c r="R594" s="4"/>
    </row>
    <row r="595" ht="17.25" customHeight="1">
      <c r="Q595" s="3"/>
      <c r="R595" s="4"/>
    </row>
    <row r="596" ht="17.25" customHeight="1">
      <c r="Q596" s="3"/>
      <c r="R596" s="4"/>
    </row>
    <row r="597" ht="17.25" customHeight="1">
      <c r="Q597" s="3"/>
      <c r="R597" s="4"/>
    </row>
    <row r="598" ht="17.25" customHeight="1">
      <c r="Q598" s="3"/>
      <c r="R598" s="4"/>
    </row>
    <row r="599" ht="17.25" customHeight="1">
      <c r="Q599" s="3"/>
      <c r="R599" s="4"/>
    </row>
    <row r="600" ht="17.25" customHeight="1">
      <c r="Q600" s="3"/>
      <c r="R600" s="4"/>
    </row>
    <row r="601" ht="17.25" customHeight="1">
      <c r="Q601" s="3"/>
      <c r="R601" s="4"/>
    </row>
    <row r="602" ht="17.25" customHeight="1">
      <c r="Q602" s="3"/>
      <c r="R602" s="4"/>
    </row>
    <row r="603" ht="17.25" customHeight="1">
      <c r="Q603" s="3"/>
      <c r="R603" s="4"/>
    </row>
    <row r="604" ht="17.25" customHeight="1">
      <c r="Q604" s="3"/>
      <c r="R604" s="4"/>
    </row>
    <row r="605" ht="17.25" customHeight="1">
      <c r="Q605" s="3"/>
      <c r="R605" s="4"/>
    </row>
    <row r="606" ht="17.25" customHeight="1">
      <c r="Q606" s="3"/>
      <c r="R606" s="4"/>
    </row>
    <row r="607" ht="17.25" customHeight="1">
      <c r="Q607" s="3"/>
      <c r="R607" s="4"/>
    </row>
    <row r="608" ht="17.25" customHeight="1">
      <c r="Q608" s="3"/>
      <c r="R608" s="4"/>
    </row>
    <row r="609" ht="17.25" customHeight="1">
      <c r="Q609" s="3"/>
      <c r="R609" s="4"/>
    </row>
    <row r="610" ht="17.25" customHeight="1">
      <c r="Q610" s="3"/>
      <c r="R610" s="4"/>
    </row>
    <row r="611" ht="17.25" customHeight="1">
      <c r="Q611" s="3"/>
      <c r="R611" s="4"/>
    </row>
    <row r="612" ht="17.25" customHeight="1">
      <c r="Q612" s="3"/>
      <c r="R612" s="4"/>
    </row>
    <row r="613" ht="17.25" customHeight="1">
      <c r="Q613" s="3"/>
      <c r="R613" s="4"/>
    </row>
    <row r="614" ht="17.25" customHeight="1">
      <c r="Q614" s="3"/>
      <c r="R614" s="4"/>
    </row>
    <row r="615" ht="17.25" customHeight="1">
      <c r="Q615" s="3"/>
      <c r="R615" s="4"/>
    </row>
    <row r="616" ht="17.25" customHeight="1">
      <c r="Q616" s="3"/>
      <c r="R616" s="4"/>
    </row>
    <row r="617" ht="17.25" customHeight="1">
      <c r="Q617" s="3"/>
      <c r="R617" s="4"/>
    </row>
    <row r="618" ht="17.25" customHeight="1">
      <c r="Q618" s="3"/>
      <c r="R618" s="4"/>
    </row>
    <row r="619" ht="17.25" customHeight="1">
      <c r="Q619" s="3"/>
      <c r="R619" s="4"/>
    </row>
    <row r="620" ht="17.25" customHeight="1">
      <c r="Q620" s="3"/>
      <c r="R620" s="4"/>
    </row>
    <row r="621" ht="17.25" customHeight="1">
      <c r="Q621" s="3"/>
      <c r="R621" s="4"/>
    </row>
    <row r="622" ht="17.25" customHeight="1">
      <c r="Q622" s="3"/>
      <c r="R622" s="4"/>
    </row>
    <row r="623" ht="17.25" customHeight="1">
      <c r="Q623" s="3"/>
      <c r="R623" s="4"/>
    </row>
    <row r="624" ht="17.25" customHeight="1">
      <c r="Q624" s="3"/>
      <c r="R624" s="4"/>
    </row>
    <row r="625" ht="17.25" customHeight="1">
      <c r="Q625" s="3"/>
      <c r="R625" s="4"/>
    </row>
    <row r="626" ht="17.25" customHeight="1">
      <c r="Q626" s="3"/>
      <c r="R626" s="4"/>
    </row>
    <row r="627" ht="17.25" customHeight="1">
      <c r="Q627" s="3"/>
      <c r="R627" s="4"/>
    </row>
    <row r="628" ht="17.25" customHeight="1">
      <c r="Q628" s="3"/>
      <c r="R628" s="4"/>
    </row>
    <row r="629" ht="17.25" customHeight="1">
      <c r="Q629" s="3"/>
      <c r="R629" s="4"/>
    </row>
    <row r="630" ht="17.25" customHeight="1">
      <c r="Q630" s="3"/>
      <c r="R630" s="4"/>
    </row>
    <row r="631" ht="17.25" customHeight="1">
      <c r="Q631" s="3"/>
      <c r="R631" s="4"/>
    </row>
    <row r="632" ht="17.25" customHeight="1">
      <c r="Q632" s="3"/>
      <c r="R632" s="4"/>
    </row>
    <row r="633" ht="17.25" customHeight="1">
      <c r="Q633" s="3"/>
      <c r="R633" s="4"/>
    </row>
    <row r="634" ht="17.25" customHeight="1">
      <c r="Q634" s="3"/>
      <c r="R634" s="4"/>
    </row>
    <row r="635" ht="17.25" customHeight="1">
      <c r="Q635" s="3"/>
      <c r="R635" s="4"/>
    </row>
    <row r="636" ht="17.25" customHeight="1">
      <c r="Q636" s="3"/>
      <c r="R636" s="4"/>
    </row>
    <row r="637" ht="17.25" customHeight="1">
      <c r="Q637" s="3"/>
      <c r="R637" s="4"/>
    </row>
    <row r="638" ht="17.25" customHeight="1">
      <c r="Q638" s="3"/>
      <c r="R638" s="4"/>
    </row>
    <row r="639" ht="17.25" customHeight="1">
      <c r="Q639" s="3"/>
      <c r="R639" s="4"/>
    </row>
    <row r="640" ht="17.25" customHeight="1">
      <c r="Q640" s="3"/>
      <c r="R640" s="4"/>
    </row>
    <row r="641" ht="17.25" customHeight="1">
      <c r="Q641" s="3"/>
      <c r="R641" s="4"/>
    </row>
    <row r="642" ht="17.25" customHeight="1">
      <c r="Q642" s="3"/>
      <c r="R642" s="4"/>
    </row>
    <row r="643" ht="17.25" customHeight="1">
      <c r="Q643" s="3"/>
      <c r="R643" s="4"/>
    </row>
    <row r="644" ht="17.25" customHeight="1">
      <c r="Q644" s="3"/>
      <c r="R644" s="4"/>
    </row>
    <row r="645" ht="17.25" customHeight="1">
      <c r="Q645" s="3"/>
      <c r="R645" s="4"/>
    </row>
    <row r="646" ht="17.25" customHeight="1">
      <c r="Q646" s="3"/>
      <c r="R646" s="4"/>
    </row>
    <row r="647" ht="17.25" customHeight="1">
      <c r="Q647" s="3"/>
      <c r="R647" s="4"/>
    </row>
    <row r="648" ht="17.25" customHeight="1">
      <c r="Q648" s="3"/>
      <c r="R648" s="4"/>
    </row>
    <row r="649" ht="17.25" customHeight="1">
      <c r="Q649" s="3"/>
      <c r="R649" s="4"/>
    </row>
    <row r="650" ht="17.25" customHeight="1">
      <c r="Q650" s="3"/>
      <c r="R650" s="4"/>
    </row>
    <row r="651" ht="17.25" customHeight="1">
      <c r="Q651" s="3"/>
      <c r="R651" s="4"/>
    </row>
    <row r="652" ht="17.25" customHeight="1">
      <c r="Q652" s="3"/>
      <c r="R652" s="4"/>
    </row>
    <row r="653" ht="17.25" customHeight="1">
      <c r="Q653" s="3"/>
      <c r="R653" s="4"/>
    </row>
    <row r="654" ht="17.25" customHeight="1">
      <c r="Q654" s="3"/>
      <c r="R654" s="4"/>
    </row>
    <row r="655" ht="17.25" customHeight="1">
      <c r="Q655" s="3"/>
      <c r="R655" s="4"/>
    </row>
    <row r="656" ht="17.25" customHeight="1">
      <c r="Q656" s="3"/>
      <c r="R656" s="4"/>
    </row>
    <row r="657" ht="17.25" customHeight="1">
      <c r="Q657" s="3"/>
      <c r="R657" s="4"/>
    </row>
    <row r="658" ht="17.25" customHeight="1">
      <c r="Q658" s="3"/>
      <c r="R658" s="4"/>
    </row>
    <row r="659" ht="17.25" customHeight="1">
      <c r="Q659" s="3"/>
      <c r="R659" s="4"/>
    </row>
    <row r="660" ht="17.25" customHeight="1">
      <c r="Q660" s="3"/>
      <c r="R660" s="4"/>
    </row>
    <row r="661" ht="17.25" customHeight="1">
      <c r="Q661" s="3"/>
      <c r="R661" s="4"/>
    </row>
    <row r="662" ht="17.25" customHeight="1">
      <c r="Q662" s="3"/>
      <c r="R662" s="4"/>
    </row>
    <row r="663" ht="17.25" customHeight="1">
      <c r="Q663" s="3"/>
      <c r="R663" s="4"/>
    </row>
    <row r="664" ht="17.25" customHeight="1">
      <c r="Q664" s="3"/>
      <c r="R664" s="4"/>
    </row>
    <row r="665" ht="17.25" customHeight="1">
      <c r="Q665" s="3"/>
      <c r="R665" s="4"/>
    </row>
    <row r="666" ht="17.25" customHeight="1">
      <c r="Q666" s="3"/>
      <c r="R666" s="4"/>
    </row>
    <row r="667" ht="17.25" customHeight="1">
      <c r="Q667" s="3"/>
      <c r="R667" s="4"/>
    </row>
    <row r="668" ht="17.25" customHeight="1">
      <c r="Q668" s="3"/>
      <c r="R668" s="4"/>
    </row>
    <row r="669" ht="17.25" customHeight="1">
      <c r="Q669" s="3"/>
      <c r="R669" s="4"/>
    </row>
    <row r="670" ht="17.25" customHeight="1">
      <c r="Q670" s="3"/>
      <c r="R670" s="4"/>
    </row>
    <row r="671" ht="17.25" customHeight="1">
      <c r="Q671" s="3"/>
      <c r="R671" s="4"/>
    </row>
    <row r="672" ht="17.25" customHeight="1">
      <c r="Q672" s="3"/>
      <c r="R672" s="4"/>
    </row>
    <row r="673" ht="17.25" customHeight="1">
      <c r="Q673" s="3"/>
      <c r="R673" s="4"/>
    </row>
    <row r="674" ht="17.25" customHeight="1">
      <c r="Q674" s="3"/>
      <c r="R674" s="4"/>
    </row>
    <row r="675" ht="17.25" customHeight="1">
      <c r="Q675" s="3"/>
      <c r="R675" s="4"/>
    </row>
    <row r="676" ht="17.25" customHeight="1">
      <c r="Q676" s="3"/>
      <c r="R676" s="4"/>
    </row>
    <row r="677" ht="17.25" customHeight="1">
      <c r="Q677" s="3"/>
      <c r="R677" s="4"/>
    </row>
    <row r="678" ht="17.25" customHeight="1">
      <c r="Q678" s="3"/>
      <c r="R678" s="4"/>
    </row>
    <row r="679" ht="17.25" customHeight="1">
      <c r="Q679" s="3"/>
      <c r="R679" s="4"/>
    </row>
    <row r="680" ht="17.25" customHeight="1">
      <c r="Q680" s="3"/>
      <c r="R680" s="4"/>
    </row>
    <row r="681" ht="17.25" customHeight="1">
      <c r="Q681" s="3"/>
      <c r="R681" s="4"/>
    </row>
    <row r="682" ht="17.25" customHeight="1">
      <c r="Q682" s="3"/>
      <c r="R682" s="4"/>
    </row>
    <row r="683" ht="17.25" customHeight="1">
      <c r="Q683" s="3"/>
      <c r="R683" s="4"/>
    </row>
    <row r="684" ht="17.25" customHeight="1">
      <c r="Q684" s="3"/>
      <c r="R684" s="4"/>
    </row>
    <row r="685" ht="17.25" customHeight="1">
      <c r="Q685" s="3"/>
      <c r="R685" s="4"/>
    </row>
    <row r="686" ht="17.25" customHeight="1">
      <c r="Q686" s="3"/>
      <c r="R686" s="4"/>
    </row>
    <row r="687" ht="17.25" customHeight="1">
      <c r="Q687" s="3"/>
      <c r="R687" s="4"/>
    </row>
    <row r="688" ht="17.25" customHeight="1">
      <c r="Q688" s="3"/>
      <c r="R688" s="4"/>
    </row>
    <row r="689" ht="17.25" customHeight="1">
      <c r="Q689" s="3"/>
      <c r="R689" s="4"/>
    </row>
    <row r="690" ht="17.25" customHeight="1">
      <c r="Q690" s="3"/>
      <c r="R690" s="4"/>
    </row>
    <row r="691" ht="17.25" customHeight="1">
      <c r="Q691" s="3"/>
      <c r="R691" s="4"/>
    </row>
    <row r="692" ht="17.25" customHeight="1">
      <c r="Q692" s="3"/>
      <c r="R692" s="4"/>
    </row>
    <row r="693" ht="17.25" customHeight="1">
      <c r="Q693" s="3"/>
      <c r="R693" s="4"/>
    </row>
    <row r="694" ht="17.25" customHeight="1">
      <c r="Q694" s="3"/>
      <c r="R694" s="4"/>
    </row>
    <row r="695" ht="17.25" customHeight="1">
      <c r="Q695" s="3"/>
      <c r="R695" s="4"/>
    </row>
    <row r="696" ht="17.25" customHeight="1">
      <c r="Q696" s="3"/>
      <c r="R696" s="4"/>
    </row>
    <row r="697" ht="17.25" customHeight="1">
      <c r="Q697" s="3"/>
      <c r="R697" s="4"/>
    </row>
    <row r="698" ht="17.25" customHeight="1">
      <c r="Q698" s="3"/>
      <c r="R698" s="4"/>
    </row>
    <row r="699" ht="17.25" customHeight="1">
      <c r="Q699" s="3"/>
      <c r="R699" s="4"/>
    </row>
    <row r="700" ht="17.25" customHeight="1">
      <c r="Q700" s="3"/>
      <c r="R700" s="4"/>
    </row>
    <row r="701" ht="17.25" customHeight="1">
      <c r="Q701" s="3"/>
      <c r="R701" s="4"/>
    </row>
    <row r="702" ht="17.25" customHeight="1">
      <c r="Q702" s="3"/>
      <c r="R702" s="4"/>
    </row>
    <row r="703" ht="17.25" customHeight="1">
      <c r="Q703" s="3"/>
      <c r="R703" s="4"/>
    </row>
    <row r="704" ht="17.25" customHeight="1">
      <c r="Q704" s="3"/>
      <c r="R704" s="4"/>
    </row>
    <row r="705" ht="17.25" customHeight="1">
      <c r="Q705" s="3"/>
      <c r="R705" s="4"/>
    </row>
    <row r="706" ht="17.25" customHeight="1">
      <c r="Q706" s="3"/>
      <c r="R706" s="4"/>
    </row>
    <row r="707" ht="17.25" customHeight="1">
      <c r="Q707" s="3"/>
      <c r="R707" s="4"/>
    </row>
    <row r="708" ht="17.25" customHeight="1">
      <c r="Q708" s="3"/>
      <c r="R708" s="4"/>
    </row>
    <row r="709" ht="17.25" customHeight="1">
      <c r="Q709" s="3"/>
      <c r="R709" s="4"/>
    </row>
    <row r="710" ht="17.25" customHeight="1">
      <c r="Q710" s="3"/>
      <c r="R710" s="4"/>
    </row>
    <row r="711" ht="17.25" customHeight="1">
      <c r="Q711" s="3"/>
      <c r="R711" s="4"/>
    </row>
    <row r="712" ht="17.25" customHeight="1">
      <c r="Q712" s="3"/>
      <c r="R712" s="4"/>
    </row>
    <row r="713" ht="17.25" customHeight="1">
      <c r="Q713" s="3"/>
      <c r="R713" s="4"/>
    </row>
    <row r="714" ht="17.25" customHeight="1">
      <c r="Q714" s="3"/>
      <c r="R714" s="4"/>
    </row>
    <row r="715" ht="17.25" customHeight="1">
      <c r="Q715" s="3"/>
      <c r="R715" s="4"/>
    </row>
    <row r="716" ht="17.25" customHeight="1">
      <c r="Q716" s="3"/>
      <c r="R716" s="4"/>
    </row>
    <row r="717" ht="17.25" customHeight="1">
      <c r="Q717" s="3"/>
      <c r="R717" s="4"/>
    </row>
    <row r="718" ht="17.25" customHeight="1">
      <c r="Q718" s="3"/>
      <c r="R718" s="4"/>
    </row>
    <row r="719" ht="17.25" customHeight="1">
      <c r="Q719" s="3"/>
      <c r="R719" s="4"/>
    </row>
    <row r="720" ht="17.25" customHeight="1">
      <c r="Q720" s="3"/>
      <c r="R720" s="4"/>
    </row>
    <row r="721" ht="17.25" customHeight="1">
      <c r="Q721" s="3"/>
      <c r="R721" s="4"/>
    </row>
    <row r="722" ht="17.25" customHeight="1">
      <c r="Q722" s="3"/>
      <c r="R722" s="4"/>
    </row>
    <row r="723" ht="17.25" customHeight="1">
      <c r="Q723" s="3"/>
      <c r="R723" s="4"/>
    </row>
    <row r="724" ht="17.25" customHeight="1">
      <c r="Q724" s="3"/>
      <c r="R724" s="4"/>
    </row>
    <row r="725" ht="17.25" customHeight="1">
      <c r="Q725" s="3"/>
      <c r="R725" s="4"/>
    </row>
    <row r="726" ht="17.25" customHeight="1">
      <c r="Q726" s="3"/>
      <c r="R726" s="4"/>
    </row>
    <row r="727" ht="17.25" customHeight="1">
      <c r="Q727" s="3"/>
      <c r="R727" s="4"/>
    </row>
    <row r="728" ht="17.25" customHeight="1">
      <c r="Q728" s="3"/>
      <c r="R728" s="4"/>
    </row>
    <row r="729" ht="17.25" customHeight="1">
      <c r="Q729" s="3"/>
      <c r="R729" s="4"/>
    </row>
    <row r="730" ht="17.25" customHeight="1">
      <c r="Q730" s="3"/>
      <c r="R730" s="4"/>
    </row>
    <row r="731" ht="17.25" customHeight="1">
      <c r="Q731" s="3"/>
      <c r="R731" s="4"/>
    </row>
    <row r="732" ht="17.25" customHeight="1">
      <c r="Q732" s="3"/>
      <c r="R732" s="4"/>
    </row>
    <row r="733" ht="17.25" customHeight="1">
      <c r="Q733" s="3"/>
      <c r="R733" s="4"/>
    </row>
    <row r="734" ht="17.25" customHeight="1">
      <c r="Q734" s="3"/>
      <c r="R734" s="4"/>
    </row>
    <row r="735" ht="17.25" customHeight="1">
      <c r="Q735" s="3"/>
      <c r="R735" s="4"/>
    </row>
    <row r="736" ht="17.25" customHeight="1">
      <c r="Q736" s="3"/>
      <c r="R736" s="4"/>
    </row>
    <row r="737" ht="17.25" customHeight="1">
      <c r="Q737" s="3"/>
      <c r="R737" s="4"/>
    </row>
    <row r="738" ht="17.25" customHeight="1">
      <c r="Q738" s="3"/>
      <c r="R738" s="4"/>
    </row>
    <row r="739" ht="17.25" customHeight="1">
      <c r="Q739" s="3"/>
      <c r="R739" s="4"/>
    </row>
    <row r="740" ht="17.25" customHeight="1">
      <c r="Q740" s="3"/>
      <c r="R740" s="4"/>
    </row>
    <row r="741" ht="17.25" customHeight="1">
      <c r="Q741" s="3"/>
      <c r="R741" s="4"/>
    </row>
    <row r="742" ht="17.25" customHeight="1">
      <c r="Q742" s="3"/>
      <c r="R742" s="4"/>
    </row>
    <row r="743" ht="17.25" customHeight="1">
      <c r="Q743" s="3"/>
      <c r="R743" s="4"/>
    </row>
    <row r="744" ht="17.25" customHeight="1">
      <c r="Q744" s="3"/>
      <c r="R744" s="4"/>
    </row>
    <row r="745" ht="17.25" customHeight="1">
      <c r="Q745" s="3"/>
      <c r="R745" s="4"/>
    </row>
    <row r="746" ht="17.25" customHeight="1">
      <c r="Q746" s="3"/>
      <c r="R746" s="4"/>
    </row>
    <row r="747" ht="17.25" customHeight="1">
      <c r="Q747" s="3"/>
      <c r="R747" s="4"/>
    </row>
    <row r="748" ht="17.25" customHeight="1">
      <c r="Q748" s="3"/>
      <c r="R748" s="4"/>
    </row>
    <row r="749" ht="17.25" customHeight="1">
      <c r="Q749" s="3"/>
      <c r="R749" s="4"/>
    </row>
    <row r="750" ht="17.25" customHeight="1">
      <c r="Q750" s="3"/>
      <c r="R750" s="4"/>
    </row>
    <row r="751" ht="17.25" customHeight="1">
      <c r="Q751" s="3"/>
      <c r="R751" s="4"/>
    </row>
    <row r="752" ht="17.25" customHeight="1">
      <c r="Q752" s="3"/>
      <c r="R752" s="4"/>
    </row>
    <row r="753" ht="17.25" customHeight="1">
      <c r="Q753" s="3"/>
      <c r="R753" s="4"/>
    </row>
    <row r="754" ht="17.25" customHeight="1">
      <c r="Q754" s="3"/>
      <c r="R754" s="4"/>
    </row>
    <row r="755" ht="17.25" customHeight="1">
      <c r="Q755" s="3"/>
      <c r="R755" s="4"/>
    </row>
    <row r="756" ht="17.25" customHeight="1">
      <c r="Q756" s="3"/>
      <c r="R756" s="4"/>
    </row>
    <row r="757" ht="17.25" customHeight="1">
      <c r="Q757" s="3"/>
      <c r="R757" s="4"/>
    </row>
    <row r="758" ht="17.25" customHeight="1">
      <c r="Q758" s="3"/>
      <c r="R758" s="4"/>
    </row>
    <row r="759" ht="17.25" customHeight="1">
      <c r="Q759" s="3"/>
      <c r="R759" s="4"/>
    </row>
    <row r="760" ht="17.25" customHeight="1">
      <c r="Q760" s="3"/>
      <c r="R760" s="4"/>
    </row>
    <row r="761" ht="17.25" customHeight="1">
      <c r="Q761" s="3"/>
      <c r="R761" s="4"/>
    </row>
    <row r="762" ht="17.25" customHeight="1">
      <c r="Q762" s="3"/>
      <c r="R762" s="4"/>
    </row>
    <row r="763" ht="17.25" customHeight="1">
      <c r="Q763" s="3"/>
      <c r="R763" s="4"/>
    </row>
    <row r="764" ht="17.25" customHeight="1">
      <c r="Q764" s="3"/>
      <c r="R764" s="4"/>
    </row>
    <row r="765" ht="17.25" customHeight="1">
      <c r="Q765" s="3"/>
      <c r="R765" s="4"/>
    </row>
    <row r="766" ht="17.25" customHeight="1">
      <c r="Q766" s="3"/>
      <c r="R766" s="4"/>
    </row>
    <row r="767" ht="17.25" customHeight="1">
      <c r="Q767" s="3"/>
      <c r="R767" s="4"/>
    </row>
    <row r="768" ht="17.25" customHeight="1">
      <c r="Q768" s="3"/>
      <c r="R768" s="4"/>
    </row>
    <row r="769" ht="17.25" customHeight="1">
      <c r="Q769" s="3"/>
      <c r="R769" s="4"/>
    </row>
    <row r="770" ht="17.25" customHeight="1">
      <c r="Q770" s="3"/>
      <c r="R770" s="4"/>
    </row>
    <row r="771" ht="17.25" customHeight="1">
      <c r="Q771" s="3"/>
      <c r="R771" s="4"/>
    </row>
    <row r="772" ht="17.25" customHeight="1">
      <c r="Q772" s="3"/>
      <c r="R772" s="4"/>
    </row>
    <row r="773" ht="17.25" customHeight="1">
      <c r="Q773" s="3"/>
      <c r="R773" s="4"/>
    </row>
    <row r="774" ht="17.25" customHeight="1">
      <c r="Q774" s="3"/>
      <c r="R774" s="4"/>
    </row>
    <row r="775" ht="17.25" customHeight="1">
      <c r="Q775" s="3"/>
      <c r="R775" s="4"/>
    </row>
    <row r="776" ht="17.25" customHeight="1">
      <c r="Q776" s="3"/>
      <c r="R776" s="4"/>
    </row>
    <row r="777" ht="17.25" customHeight="1">
      <c r="Q777" s="3"/>
      <c r="R777" s="4"/>
    </row>
    <row r="778" ht="17.25" customHeight="1">
      <c r="Q778" s="3"/>
      <c r="R778" s="4"/>
    </row>
    <row r="779" ht="17.25" customHeight="1">
      <c r="Q779" s="3"/>
      <c r="R779" s="4"/>
    </row>
    <row r="780" ht="17.25" customHeight="1">
      <c r="Q780" s="3"/>
      <c r="R780" s="4"/>
    </row>
    <row r="781" ht="17.25" customHeight="1">
      <c r="Q781" s="3"/>
      <c r="R781" s="4"/>
    </row>
    <row r="782" ht="17.25" customHeight="1">
      <c r="Q782" s="3"/>
      <c r="R782" s="4"/>
    </row>
    <row r="783" ht="17.25" customHeight="1">
      <c r="Q783" s="3"/>
      <c r="R783" s="4"/>
    </row>
    <row r="784" ht="17.25" customHeight="1">
      <c r="Q784" s="3"/>
      <c r="R784" s="4"/>
    </row>
    <row r="785" ht="17.25" customHeight="1">
      <c r="Q785" s="3"/>
      <c r="R785" s="4"/>
    </row>
    <row r="786" ht="17.25" customHeight="1">
      <c r="Q786" s="3"/>
      <c r="R786" s="4"/>
    </row>
    <row r="787" ht="17.25" customHeight="1">
      <c r="Q787" s="3"/>
      <c r="R787" s="4"/>
    </row>
    <row r="788" ht="17.25" customHeight="1">
      <c r="Q788" s="3"/>
      <c r="R788" s="4"/>
    </row>
    <row r="789" ht="17.25" customHeight="1">
      <c r="Q789" s="3"/>
      <c r="R789" s="4"/>
    </row>
    <row r="790" ht="17.25" customHeight="1">
      <c r="Q790" s="3"/>
      <c r="R790" s="4"/>
    </row>
    <row r="791" ht="17.25" customHeight="1">
      <c r="Q791" s="3"/>
      <c r="R791" s="4"/>
    </row>
    <row r="792" ht="17.25" customHeight="1">
      <c r="Q792" s="3"/>
      <c r="R792" s="4"/>
    </row>
    <row r="793" ht="17.25" customHeight="1">
      <c r="Q793" s="3"/>
      <c r="R793" s="4"/>
    </row>
    <row r="794" ht="17.25" customHeight="1">
      <c r="Q794" s="3"/>
      <c r="R794" s="4"/>
    </row>
    <row r="795" ht="17.25" customHeight="1">
      <c r="Q795" s="3"/>
      <c r="R795" s="4"/>
    </row>
    <row r="796" ht="17.25" customHeight="1">
      <c r="Q796" s="3"/>
      <c r="R796" s="4"/>
    </row>
    <row r="797" ht="17.25" customHeight="1">
      <c r="Q797" s="3"/>
      <c r="R797" s="4"/>
    </row>
    <row r="798" ht="17.25" customHeight="1">
      <c r="Q798" s="3"/>
      <c r="R798" s="4"/>
    </row>
    <row r="799" ht="17.25" customHeight="1">
      <c r="Q799" s="3"/>
      <c r="R799" s="4"/>
    </row>
    <row r="800" ht="17.25" customHeight="1">
      <c r="Q800" s="3"/>
      <c r="R800" s="4"/>
    </row>
    <row r="801" ht="17.25" customHeight="1">
      <c r="Q801" s="3"/>
      <c r="R801" s="4"/>
    </row>
    <row r="802" ht="17.25" customHeight="1">
      <c r="Q802" s="3"/>
      <c r="R802" s="4"/>
    </row>
    <row r="803" ht="17.25" customHeight="1">
      <c r="Q803" s="3"/>
      <c r="R803" s="4"/>
    </row>
    <row r="804" ht="17.25" customHeight="1">
      <c r="Q804" s="3"/>
      <c r="R804" s="4"/>
    </row>
    <row r="805" ht="17.25" customHeight="1">
      <c r="Q805" s="3"/>
      <c r="R805" s="4"/>
    </row>
    <row r="806" ht="17.25" customHeight="1">
      <c r="Q806" s="3"/>
      <c r="R806" s="4"/>
    </row>
    <row r="807" ht="17.25" customHeight="1">
      <c r="Q807" s="3"/>
      <c r="R807" s="4"/>
    </row>
    <row r="808" ht="17.25" customHeight="1">
      <c r="Q808" s="3"/>
      <c r="R808" s="4"/>
    </row>
    <row r="809" ht="17.25" customHeight="1">
      <c r="Q809" s="3"/>
      <c r="R809" s="4"/>
    </row>
    <row r="810" ht="17.25" customHeight="1">
      <c r="Q810" s="3"/>
      <c r="R810" s="4"/>
    </row>
    <row r="811" ht="17.25" customHeight="1">
      <c r="Q811" s="3"/>
      <c r="R811" s="4"/>
    </row>
    <row r="812" ht="17.25" customHeight="1">
      <c r="Q812" s="3"/>
      <c r="R812" s="4"/>
    </row>
    <row r="813" ht="17.25" customHeight="1">
      <c r="Q813" s="3"/>
      <c r="R813" s="4"/>
    </row>
    <row r="814" ht="17.25" customHeight="1">
      <c r="Q814" s="3"/>
      <c r="R814" s="4"/>
    </row>
    <row r="815" ht="17.25" customHeight="1">
      <c r="Q815" s="3"/>
      <c r="R815" s="4"/>
    </row>
    <row r="816" ht="17.25" customHeight="1">
      <c r="Q816" s="3"/>
      <c r="R816" s="4"/>
    </row>
    <row r="817" ht="17.25" customHeight="1">
      <c r="Q817" s="3"/>
      <c r="R817" s="4"/>
    </row>
    <row r="818" ht="17.25" customHeight="1">
      <c r="Q818" s="3"/>
      <c r="R818" s="4"/>
    </row>
    <row r="819" ht="17.25" customHeight="1">
      <c r="Q819" s="3"/>
      <c r="R819" s="4"/>
    </row>
    <row r="820" ht="17.25" customHeight="1">
      <c r="Q820" s="3"/>
      <c r="R820" s="4"/>
    </row>
    <row r="821" ht="17.25" customHeight="1">
      <c r="Q821" s="3"/>
      <c r="R821" s="4"/>
    </row>
    <row r="822" ht="17.25" customHeight="1">
      <c r="Q822" s="3"/>
      <c r="R822" s="4"/>
    </row>
    <row r="823" ht="17.25" customHeight="1">
      <c r="Q823" s="3"/>
      <c r="R823" s="4"/>
    </row>
    <row r="824" ht="17.25" customHeight="1">
      <c r="Q824" s="3"/>
      <c r="R824" s="4"/>
    </row>
    <row r="825" ht="17.25" customHeight="1">
      <c r="Q825" s="3"/>
      <c r="R825" s="4"/>
    </row>
    <row r="826" ht="17.25" customHeight="1">
      <c r="Q826" s="3"/>
      <c r="R826" s="4"/>
    </row>
    <row r="827" ht="17.25" customHeight="1">
      <c r="Q827" s="3"/>
      <c r="R827" s="4"/>
    </row>
    <row r="828" ht="17.25" customHeight="1">
      <c r="Q828" s="3"/>
      <c r="R828" s="4"/>
    </row>
    <row r="829" ht="17.25" customHeight="1">
      <c r="Q829" s="3"/>
      <c r="R829" s="4"/>
    </row>
    <row r="830" ht="17.25" customHeight="1">
      <c r="Q830" s="3"/>
      <c r="R830" s="4"/>
    </row>
    <row r="831" ht="17.25" customHeight="1">
      <c r="Q831" s="3"/>
      <c r="R831" s="4"/>
    </row>
    <row r="832" ht="17.25" customHeight="1">
      <c r="Q832" s="3"/>
      <c r="R832" s="4"/>
    </row>
    <row r="833" ht="17.25" customHeight="1">
      <c r="Q833" s="3"/>
      <c r="R833" s="4"/>
    </row>
    <row r="834" ht="17.25" customHeight="1">
      <c r="Q834" s="3"/>
      <c r="R834" s="4"/>
    </row>
    <row r="835" ht="17.25" customHeight="1">
      <c r="Q835" s="3"/>
      <c r="R835" s="4"/>
    </row>
    <row r="836" ht="17.25" customHeight="1">
      <c r="Q836" s="3"/>
      <c r="R836" s="4"/>
    </row>
    <row r="837" ht="17.25" customHeight="1">
      <c r="Q837" s="3"/>
      <c r="R837" s="4"/>
    </row>
    <row r="838" ht="17.25" customHeight="1">
      <c r="Q838" s="3"/>
      <c r="R838" s="4"/>
    </row>
    <row r="839" ht="17.25" customHeight="1">
      <c r="Q839" s="3"/>
      <c r="R839" s="4"/>
    </row>
    <row r="840" ht="17.25" customHeight="1">
      <c r="Q840" s="3"/>
      <c r="R840" s="4"/>
    </row>
    <row r="841" ht="17.25" customHeight="1">
      <c r="Q841" s="3"/>
      <c r="R841" s="4"/>
    </row>
    <row r="842" ht="17.25" customHeight="1">
      <c r="Q842" s="3"/>
      <c r="R842" s="4"/>
    </row>
    <row r="843" ht="17.25" customHeight="1">
      <c r="Q843" s="3"/>
      <c r="R843" s="4"/>
    </row>
    <row r="844" ht="17.25" customHeight="1">
      <c r="Q844" s="3"/>
      <c r="R844" s="4"/>
    </row>
    <row r="845" ht="17.25" customHeight="1">
      <c r="Q845" s="3"/>
      <c r="R845" s="4"/>
    </row>
    <row r="846" ht="17.25" customHeight="1">
      <c r="Q846" s="3"/>
      <c r="R846" s="4"/>
    </row>
    <row r="847" ht="17.25" customHeight="1">
      <c r="Q847" s="3"/>
      <c r="R847" s="4"/>
    </row>
    <row r="848" ht="17.25" customHeight="1">
      <c r="Q848" s="3"/>
      <c r="R848" s="4"/>
    </row>
    <row r="849" ht="17.25" customHeight="1">
      <c r="Q849" s="3"/>
      <c r="R849" s="4"/>
    </row>
    <row r="850" ht="17.25" customHeight="1">
      <c r="Q850" s="3"/>
      <c r="R850" s="4"/>
    </row>
    <row r="851" ht="17.25" customHeight="1">
      <c r="Q851" s="3"/>
      <c r="R851" s="4"/>
    </row>
    <row r="852" ht="17.25" customHeight="1">
      <c r="Q852" s="3"/>
      <c r="R852" s="4"/>
    </row>
    <row r="853" ht="17.25" customHeight="1">
      <c r="Q853" s="3"/>
      <c r="R853" s="4"/>
    </row>
    <row r="854" ht="17.25" customHeight="1">
      <c r="Q854" s="3"/>
      <c r="R854" s="4"/>
    </row>
    <row r="855" ht="17.25" customHeight="1">
      <c r="Q855" s="3"/>
      <c r="R855" s="4"/>
    </row>
    <row r="856" ht="17.25" customHeight="1">
      <c r="Q856" s="3"/>
      <c r="R856" s="4"/>
    </row>
    <row r="857" ht="17.25" customHeight="1">
      <c r="Q857" s="3"/>
      <c r="R857" s="4"/>
    </row>
    <row r="858" ht="17.25" customHeight="1">
      <c r="Q858" s="3"/>
      <c r="R858" s="4"/>
    </row>
    <row r="859" ht="17.25" customHeight="1">
      <c r="Q859" s="3"/>
      <c r="R859" s="4"/>
    </row>
    <row r="860" ht="17.25" customHeight="1">
      <c r="Q860" s="3"/>
      <c r="R860" s="4"/>
    </row>
    <row r="861" ht="17.25" customHeight="1">
      <c r="Q861" s="3"/>
      <c r="R861" s="4"/>
    </row>
    <row r="862" ht="17.25" customHeight="1">
      <c r="Q862" s="3"/>
      <c r="R862" s="4"/>
    </row>
    <row r="863" ht="17.25" customHeight="1">
      <c r="Q863" s="3"/>
      <c r="R863" s="4"/>
    </row>
    <row r="864" ht="17.25" customHeight="1">
      <c r="Q864" s="3"/>
      <c r="R864" s="4"/>
    </row>
    <row r="865" ht="17.25" customHeight="1">
      <c r="Q865" s="3"/>
      <c r="R865" s="4"/>
    </row>
    <row r="866" ht="17.25" customHeight="1">
      <c r="Q866" s="3"/>
      <c r="R866" s="4"/>
    </row>
    <row r="867" ht="17.25" customHeight="1">
      <c r="Q867" s="3"/>
      <c r="R867" s="4"/>
    </row>
    <row r="868" ht="17.25" customHeight="1">
      <c r="Q868" s="3"/>
      <c r="R868" s="4"/>
    </row>
    <row r="869" ht="17.25" customHeight="1">
      <c r="Q869" s="3"/>
      <c r="R869" s="4"/>
    </row>
    <row r="870" ht="17.25" customHeight="1">
      <c r="Q870" s="3"/>
      <c r="R870" s="4"/>
    </row>
    <row r="871" ht="17.25" customHeight="1">
      <c r="Q871" s="3"/>
      <c r="R871" s="4"/>
    </row>
    <row r="872" ht="17.25" customHeight="1">
      <c r="Q872" s="3"/>
      <c r="R872" s="4"/>
    </row>
    <row r="873" ht="17.25" customHeight="1">
      <c r="Q873" s="3"/>
      <c r="R873" s="4"/>
    </row>
    <row r="874" ht="17.25" customHeight="1">
      <c r="Q874" s="3"/>
      <c r="R874" s="4"/>
    </row>
    <row r="875" ht="17.25" customHeight="1">
      <c r="Q875" s="3"/>
      <c r="R875" s="4"/>
    </row>
    <row r="876" ht="17.25" customHeight="1">
      <c r="Q876" s="3"/>
      <c r="R876" s="4"/>
    </row>
    <row r="877" ht="17.25" customHeight="1">
      <c r="Q877" s="3"/>
      <c r="R877" s="4"/>
    </row>
    <row r="878" ht="17.25" customHeight="1">
      <c r="Q878" s="3"/>
      <c r="R878" s="4"/>
    </row>
    <row r="879" ht="17.25" customHeight="1">
      <c r="Q879" s="3"/>
      <c r="R879" s="4"/>
    </row>
    <row r="880" ht="17.25" customHeight="1">
      <c r="Q880" s="3"/>
      <c r="R880" s="4"/>
    </row>
    <row r="881" ht="17.25" customHeight="1">
      <c r="Q881" s="3"/>
      <c r="R881" s="4"/>
    </row>
    <row r="882" ht="17.25" customHeight="1">
      <c r="Q882" s="3"/>
      <c r="R882" s="4"/>
    </row>
    <row r="883" ht="17.25" customHeight="1">
      <c r="Q883" s="3"/>
      <c r="R883" s="4"/>
    </row>
    <row r="884" ht="17.25" customHeight="1">
      <c r="Q884" s="3"/>
      <c r="R884" s="4"/>
    </row>
    <row r="885" ht="17.25" customHeight="1">
      <c r="Q885" s="3"/>
      <c r="R885" s="4"/>
    </row>
    <row r="886" ht="17.25" customHeight="1">
      <c r="Q886" s="3"/>
      <c r="R886" s="4"/>
    </row>
    <row r="887" ht="17.25" customHeight="1">
      <c r="Q887" s="3"/>
      <c r="R887" s="4"/>
    </row>
    <row r="888" ht="17.25" customHeight="1">
      <c r="Q888" s="3"/>
      <c r="R888" s="4"/>
    </row>
    <row r="889" ht="17.25" customHeight="1">
      <c r="Q889" s="3"/>
      <c r="R889" s="4"/>
    </row>
    <row r="890" ht="17.25" customHeight="1">
      <c r="Q890" s="3"/>
      <c r="R890" s="4"/>
    </row>
    <row r="891" ht="17.25" customHeight="1">
      <c r="Q891" s="3"/>
      <c r="R891" s="4"/>
    </row>
    <row r="892" ht="17.25" customHeight="1">
      <c r="Q892" s="3"/>
      <c r="R892" s="4"/>
    </row>
    <row r="893" ht="17.25" customHeight="1">
      <c r="Q893" s="3"/>
      <c r="R893" s="4"/>
    </row>
    <row r="894" ht="17.25" customHeight="1">
      <c r="Q894" s="3"/>
      <c r="R894" s="4"/>
    </row>
    <row r="895" ht="17.25" customHeight="1">
      <c r="Q895" s="3"/>
      <c r="R895" s="4"/>
    </row>
    <row r="896" ht="17.25" customHeight="1">
      <c r="Q896" s="3"/>
      <c r="R896" s="4"/>
    </row>
    <row r="897" ht="17.25" customHeight="1">
      <c r="Q897" s="3"/>
      <c r="R897" s="4"/>
    </row>
    <row r="898" ht="17.25" customHeight="1">
      <c r="Q898" s="3"/>
      <c r="R898" s="4"/>
    </row>
    <row r="899" ht="17.25" customHeight="1">
      <c r="Q899" s="3"/>
      <c r="R899" s="4"/>
    </row>
    <row r="900" ht="17.25" customHeight="1">
      <c r="Q900" s="3"/>
      <c r="R900" s="4"/>
    </row>
    <row r="901" ht="17.25" customHeight="1">
      <c r="Q901" s="3"/>
      <c r="R901" s="4"/>
    </row>
    <row r="902" ht="17.25" customHeight="1">
      <c r="Q902" s="3"/>
      <c r="R902" s="4"/>
    </row>
    <row r="903" ht="17.25" customHeight="1">
      <c r="Q903" s="3"/>
      <c r="R903" s="4"/>
    </row>
    <row r="904" ht="17.25" customHeight="1">
      <c r="Q904" s="3"/>
      <c r="R904" s="4"/>
    </row>
    <row r="905" ht="17.25" customHeight="1">
      <c r="Q905" s="3"/>
      <c r="R905" s="4"/>
    </row>
    <row r="906" ht="17.25" customHeight="1">
      <c r="Q906" s="3"/>
      <c r="R906" s="4"/>
    </row>
    <row r="907" ht="17.25" customHeight="1">
      <c r="Q907" s="3"/>
      <c r="R907" s="4"/>
    </row>
    <row r="908" ht="17.25" customHeight="1">
      <c r="Q908" s="3"/>
      <c r="R908" s="4"/>
    </row>
    <row r="909" ht="17.25" customHeight="1">
      <c r="Q909" s="3"/>
      <c r="R909" s="4"/>
    </row>
    <row r="910" ht="17.25" customHeight="1">
      <c r="Q910" s="3"/>
      <c r="R910" s="4"/>
    </row>
    <row r="911" ht="17.25" customHeight="1">
      <c r="Q911" s="3"/>
      <c r="R911" s="4"/>
    </row>
    <row r="912" ht="17.25" customHeight="1">
      <c r="Q912" s="3"/>
      <c r="R912" s="4"/>
    </row>
    <row r="913" ht="17.25" customHeight="1">
      <c r="Q913" s="3"/>
      <c r="R913" s="4"/>
    </row>
    <row r="914" ht="17.25" customHeight="1">
      <c r="Q914" s="3"/>
      <c r="R914" s="4"/>
    </row>
    <row r="915" ht="17.25" customHeight="1">
      <c r="Q915" s="3"/>
      <c r="R915" s="4"/>
    </row>
    <row r="916" ht="17.25" customHeight="1">
      <c r="Q916" s="3"/>
      <c r="R916" s="4"/>
    </row>
    <row r="917" ht="17.25" customHeight="1">
      <c r="Q917" s="3"/>
      <c r="R917" s="4"/>
    </row>
    <row r="918" ht="17.25" customHeight="1">
      <c r="Q918" s="3"/>
      <c r="R918" s="4"/>
    </row>
    <row r="919" ht="17.25" customHeight="1">
      <c r="Q919" s="3"/>
      <c r="R919" s="4"/>
    </row>
    <row r="920" ht="17.25" customHeight="1">
      <c r="Q920" s="3"/>
      <c r="R920" s="4"/>
    </row>
    <row r="921" ht="17.25" customHeight="1">
      <c r="Q921" s="3"/>
      <c r="R921" s="4"/>
    </row>
    <row r="922" ht="17.25" customHeight="1">
      <c r="Q922" s="3"/>
      <c r="R922" s="4"/>
    </row>
    <row r="923" ht="17.25" customHeight="1">
      <c r="Q923" s="3"/>
      <c r="R923" s="4"/>
    </row>
    <row r="924" ht="17.25" customHeight="1">
      <c r="Q924" s="3"/>
      <c r="R924" s="4"/>
    </row>
    <row r="925" ht="17.25" customHeight="1">
      <c r="Q925" s="3"/>
      <c r="R925" s="4"/>
    </row>
    <row r="926" ht="17.25" customHeight="1">
      <c r="Q926" s="3"/>
      <c r="R926" s="4"/>
    </row>
    <row r="927" ht="17.25" customHeight="1">
      <c r="Q927" s="3"/>
      <c r="R927" s="4"/>
    </row>
    <row r="928" ht="17.25" customHeight="1">
      <c r="Q928" s="3"/>
      <c r="R928" s="4"/>
    </row>
    <row r="929" ht="17.25" customHeight="1">
      <c r="Q929" s="3"/>
      <c r="R929" s="4"/>
    </row>
    <row r="930" ht="17.25" customHeight="1">
      <c r="Q930" s="3"/>
      <c r="R930" s="4"/>
    </row>
    <row r="931" ht="17.25" customHeight="1">
      <c r="Q931" s="3"/>
      <c r="R931" s="4"/>
    </row>
    <row r="932" ht="17.25" customHeight="1">
      <c r="Q932" s="3"/>
      <c r="R932" s="4"/>
    </row>
    <row r="933" ht="17.25" customHeight="1">
      <c r="Q933" s="3"/>
      <c r="R933" s="4"/>
    </row>
    <row r="934" ht="17.25" customHeight="1">
      <c r="Q934" s="3"/>
      <c r="R934" s="4"/>
    </row>
    <row r="935" ht="17.25" customHeight="1">
      <c r="Q935" s="3"/>
      <c r="R935" s="4"/>
    </row>
    <row r="936" ht="17.25" customHeight="1">
      <c r="Q936" s="3"/>
      <c r="R936" s="4"/>
    </row>
    <row r="937" ht="17.25" customHeight="1">
      <c r="Q937" s="3"/>
      <c r="R937" s="4"/>
    </row>
    <row r="938" ht="17.25" customHeight="1">
      <c r="Q938" s="3"/>
      <c r="R938" s="4"/>
    </row>
    <row r="939" ht="17.25" customHeight="1">
      <c r="Q939" s="3"/>
      <c r="R939" s="4"/>
    </row>
    <row r="940" ht="17.25" customHeight="1">
      <c r="Q940" s="3"/>
      <c r="R940" s="4"/>
    </row>
    <row r="941" ht="17.25" customHeight="1">
      <c r="Q941" s="3"/>
      <c r="R941" s="4"/>
    </row>
    <row r="942" ht="17.25" customHeight="1">
      <c r="Q942" s="3"/>
      <c r="R942" s="4"/>
    </row>
    <row r="943" ht="17.25" customHeight="1">
      <c r="Q943" s="3"/>
      <c r="R943" s="4"/>
    </row>
    <row r="944" ht="17.25" customHeight="1">
      <c r="Q944" s="3"/>
      <c r="R944" s="4"/>
    </row>
    <row r="945" ht="17.25" customHeight="1">
      <c r="Q945" s="3"/>
      <c r="R945" s="4"/>
    </row>
    <row r="946" ht="17.25" customHeight="1">
      <c r="Q946" s="3"/>
      <c r="R946" s="4"/>
    </row>
    <row r="947" ht="17.25" customHeight="1">
      <c r="Q947" s="3"/>
      <c r="R947" s="4"/>
    </row>
    <row r="948" ht="17.25" customHeight="1">
      <c r="Q948" s="3"/>
      <c r="R948" s="4"/>
    </row>
    <row r="949" ht="17.25" customHeight="1">
      <c r="Q949" s="3"/>
      <c r="R949" s="4"/>
    </row>
    <row r="950" ht="17.25" customHeight="1">
      <c r="Q950" s="3"/>
      <c r="R950" s="4"/>
    </row>
    <row r="951" ht="17.25" customHeight="1">
      <c r="Q951" s="3"/>
      <c r="R951" s="4"/>
    </row>
    <row r="952" ht="17.25" customHeight="1">
      <c r="Q952" s="3"/>
      <c r="R952" s="4"/>
    </row>
    <row r="953" ht="17.25" customHeight="1">
      <c r="Q953" s="3"/>
      <c r="R953" s="4"/>
    </row>
    <row r="954" ht="17.25" customHeight="1">
      <c r="Q954" s="3"/>
      <c r="R954" s="4"/>
    </row>
    <row r="955" ht="17.25" customHeight="1">
      <c r="Q955" s="3"/>
      <c r="R955" s="4"/>
    </row>
    <row r="956" ht="17.25" customHeight="1">
      <c r="Q956" s="3"/>
      <c r="R956" s="4"/>
    </row>
    <row r="957" ht="17.25" customHeight="1">
      <c r="Q957" s="3"/>
      <c r="R957" s="4"/>
    </row>
    <row r="958" ht="17.25" customHeight="1">
      <c r="Q958" s="3"/>
      <c r="R958" s="4"/>
    </row>
    <row r="959" ht="17.25" customHeight="1">
      <c r="Q959" s="3"/>
      <c r="R959" s="4"/>
    </row>
    <row r="960" ht="17.25" customHeight="1">
      <c r="Q960" s="3"/>
      <c r="R960" s="4"/>
    </row>
    <row r="961" ht="17.25" customHeight="1">
      <c r="Q961" s="3"/>
      <c r="R961" s="4"/>
    </row>
    <row r="962" ht="17.25" customHeight="1">
      <c r="Q962" s="3"/>
      <c r="R962" s="4"/>
    </row>
    <row r="963" ht="17.25" customHeight="1">
      <c r="Q963" s="3"/>
      <c r="R963" s="4"/>
    </row>
    <row r="964" ht="17.25" customHeight="1">
      <c r="Q964" s="3"/>
      <c r="R964" s="4"/>
    </row>
    <row r="965" ht="17.25" customHeight="1">
      <c r="Q965" s="3"/>
      <c r="R965" s="4"/>
    </row>
    <row r="966" ht="17.25" customHeight="1">
      <c r="Q966" s="3"/>
      <c r="R966" s="4"/>
    </row>
    <row r="967" ht="17.25" customHeight="1">
      <c r="Q967" s="3"/>
      <c r="R967" s="4"/>
    </row>
    <row r="968" ht="17.25" customHeight="1">
      <c r="Q968" s="3"/>
      <c r="R968" s="4"/>
    </row>
    <row r="969" ht="17.25" customHeight="1">
      <c r="Q969" s="3"/>
      <c r="R969" s="4"/>
    </row>
    <row r="970" ht="17.25" customHeight="1">
      <c r="Q970" s="3"/>
      <c r="R970" s="4"/>
    </row>
    <row r="971" ht="17.25" customHeight="1">
      <c r="Q971" s="3"/>
      <c r="R971" s="4"/>
    </row>
    <row r="972" ht="17.25" customHeight="1">
      <c r="Q972" s="3"/>
      <c r="R972" s="4"/>
    </row>
    <row r="973" ht="17.25" customHeight="1">
      <c r="Q973" s="3"/>
      <c r="R973" s="4"/>
    </row>
    <row r="974" ht="17.25" customHeight="1">
      <c r="Q974" s="3"/>
      <c r="R974" s="4"/>
    </row>
    <row r="975" ht="17.25" customHeight="1">
      <c r="Q975" s="3"/>
      <c r="R975" s="4"/>
    </row>
    <row r="976" ht="17.25" customHeight="1">
      <c r="Q976" s="3"/>
      <c r="R976" s="4"/>
    </row>
    <row r="977" ht="17.25" customHeight="1">
      <c r="Q977" s="3"/>
      <c r="R977" s="4"/>
    </row>
    <row r="978" ht="17.25" customHeight="1">
      <c r="Q978" s="3"/>
      <c r="R978" s="4"/>
    </row>
    <row r="979" ht="17.25" customHeight="1">
      <c r="Q979" s="3"/>
      <c r="R979" s="4"/>
    </row>
    <row r="980" ht="17.25" customHeight="1">
      <c r="Q980" s="3"/>
      <c r="R980" s="4"/>
    </row>
    <row r="981" ht="17.25" customHeight="1">
      <c r="Q981" s="3"/>
      <c r="R981" s="4"/>
    </row>
    <row r="982" ht="17.25" customHeight="1">
      <c r="Q982" s="3"/>
      <c r="R982" s="4"/>
    </row>
    <row r="983" ht="17.25" customHeight="1">
      <c r="Q983" s="3"/>
      <c r="R983" s="4"/>
    </row>
    <row r="984" ht="17.25" customHeight="1">
      <c r="Q984" s="3"/>
      <c r="R984" s="4"/>
    </row>
    <row r="985" ht="17.25" customHeight="1">
      <c r="Q985" s="3"/>
      <c r="R985" s="4"/>
    </row>
    <row r="986" ht="17.25" customHeight="1">
      <c r="Q986" s="3"/>
      <c r="R986" s="4"/>
    </row>
    <row r="987" ht="17.25" customHeight="1">
      <c r="Q987" s="3"/>
      <c r="R987" s="4"/>
    </row>
    <row r="988" ht="17.25" customHeight="1">
      <c r="Q988" s="3"/>
      <c r="R988" s="4"/>
    </row>
    <row r="989" ht="17.25" customHeight="1">
      <c r="Q989" s="3"/>
      <c r="R989" s="4"/>
    </row>
    <row r="990" ht="17.25" customHeight="1">
      <c r="Q990" s="3"/>
      <c r="R990" s="4"/>
    </row>
    <row r="991" ht="17.25" customHeight="1">
      <c r="Q991" s="3"/>
      <c r="R991" s="4"/>
    </row>
    <row r="992" ht="17.25" customHeight="1">
      <c r="Q992" s="3"/>
      <c r="R992" s="4"/>
    </row>
    <row r="993" ht="17.25" customHeight="1">
      <c r="Q993" s="3"/>
      <c r="R993" s="4"/>
    </row>
    <row r="994" ht="17.25" customHeight="1">
      <c r="Q994" s="3"/>
      <c r="R994" s="4"/>
    </row>
    <row r="995" ht="17.25" customHeight="1">
      <c r="Q995" s="3"/>
      <c r="R995" s="4"/>
    </row>
    <row r="996" ht="17.25" customHeight="1">
      <c r="Q996" s="3"/>
      <c r="R996" s="4"/>
    </row>
    <row r="997" ht="17.25" customHeight="1">
      <c r="Q997" s="3"/>
      <c r="R997" s="4"/>
    </row>
    <row r="998" ht="17.25" customHeight="1">
      <c r="Q998" s="3"/>
      <c r="R998" s="4"/>
    </row>
    <row r="999" ht="17.25" customHeight="1">
      <c r="Q999" s="3"/>
      <c r="R999" s="4"/>
    </row>
    <row r="1000" ht="17.25" customHeight="1">
      <c r="Q1000" s="3"/>
      <c r="R1000" s="4"/>
    </row>
  </sheetData>
  <autoFilter ref="$A$1:$W$11"/>
  <printOptions/>
  <pageMargins bottom="0.75" footer="0.0" header="0.0" left="0.7" right="0.7" top="0.75"/>
  <pageSetup orientation="landscape"/>
  <drawing r:id="rId1"/>
</worksheet>
</file>